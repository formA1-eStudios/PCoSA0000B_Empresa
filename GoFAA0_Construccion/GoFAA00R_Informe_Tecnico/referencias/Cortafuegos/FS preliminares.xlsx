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autoCompressPictures="0"/>
  <mc:AlternateContent xmlns:mc="http://schemas.openxmlformats.org/markup-compatibility/2006">
    <mc:Choice Requires="x15">
      <x15ac:absPath xmlns:x15ac="http://schemas.microsoft.com/office/spreadsheetml/2010/11/ac" url="C:\Users\hilti01\Desktop\"/>
    </mc:Choice>
  </mc:AlternateContent>
  <workbookProtection workbookAlgorithmName="SHA-512" workbookHashValue="hjtIGkQHzlyUKla06XTgRbik9s53Ppi+fqRuOduJpxlhbrORFsokhJ2xzgC7HODDeXEx04SkixYUAnPkHXDRZg==" workbookSaltValue="LKXTTQBWJjkKIMCDHpmckQ==" workbookSpinCount="100000" lockStructure="1"/>
  <bookViews>
    <workbookView xWindow="0" yWindow="9660" windowWidth="20490" windowHeight="1680"/>
  </bookViews>
  <sheets>
    <sheet name="Informe - Planilla" sheetId="4" r:id="rId1"/>
    <sheet name="Informe preliminar" sheetId="7" r:id="rId2"/>
    <sheet name="observaciones" sheetId="5" r:id="rId3"/>
    <sheet name="Referencias" sheetId="6" r:id="rId4"/>
  </sheets>
  <definedNames>
    <definedName name="ActividadPasante">Referencias!$Q$6:$Q$8</definedName>
    <definedName name="ElementoBase">Referencias!$D$6:$D$13</definedName>
    <definedName name="FormasGeom">Referencias!$L$6:$L$12</definedName>
    <definedName name="MaterialBase">Referencias!$H$6:$H$9</definedName>
    <definedName name="PasantesComunes">Referencias!$U$6:$U$20</definedName>
    <definedName name="_xlnm.Print_Area" localSheetId="0">'Informe - Planilla'!$A$1:$E$46</definedName>
    <definedName name="_xlnm.Print_Area" localSheetId="1">'Informe preliminar'!$A$1:$G$83</definedName>
    <definedName name="_xlnm.Print_Area" localSheetId="2">observaciones!$A$1:$C$23</definedName>
    <definedName name="_xlnm.Print_Area" localSheetId="3">Referencias!$A$1</definedName>
    <definedName name="_xlnm.Print_Titles" localSheetId="0">'Informe - Planilla'!$9:$9</definedName>
    <definedName name="ProductosHilti">Referencias!$Y$6:$Y$21</definedName>
  </definedNames>
  <calcPr calcId="152511"/>
</workbook>
</file>

<file path=xl/calcChain.xml><?xml version="1.0" encoding="utf-8"?>
<calcChain xmlns="http://schemas.openxmlformats.org/spreadsheetml/2006/main">
  <c r="Z12" i="4" l="1"/>
  <c r="W48" i="4" l="1"/>
  <c r="Y48" i="4" s="1"/>
  <c r="Z48" i="4" s="1"/>
  <c r="AB48" i="4" s="1"/>
  <c r="X48" i="4"/>
  <c r="W47" i="4"/>
  <c r="X47" i="4"/>
  <c r="Y47" i="4"/>
  <c r="Z47" i="4" s="1"/>
  <c r="AB47" i="4" s="1"/>
  <c r="W46" i="4" l="1"/>
  <c r="Y46" i="4" s="1"/>
  <c r="Z46" i="4" s="1"/>
  <c r="AB46" i="4" s="1"/>
  <c r="X46" i="4"/>
  <c r="W44" i="4"/>
  <c r="W45" i="4"/>
  <c r="X44" i="4"/>
  <c r="X45" i="4"/>
  <c r="W42" i="4"/>
  <c r="W43" i="4"/>
  <c r="X42" i="4"/>
  <c r="X43" i="4"/>
  <c r="W40" i="4"/>
  <c r="W41" i="4"/>
  <c r="Y41" i="4" s="1"/>
  <c r="Z41" i="4" s="1"/>
  <c r="AB41" i="4" s="1"/>
  <c r="X40" i="4"/>
  <c r="X41" i="4"/>
  <c r="W38" i="4"/>
  <c r="W39" i="4"/>
  <c r="X38" i="4"/>
  <c r="X39" i="4"/>
  <c r="W36" i="4"/>
  <c r="W37" i="4"/>
  <c r="X36" i="4"/>
  <c r="X37" i="4"/>
  <c r="Y37" i="4"/>
  <c r="Z37" i="4" s="1"/>
  <c r="AB37" i="4" s="1"/>
  <c r="W34" i="4"/>
  <c r="W35" i="4"/>
  <c r="X34" i="4"/>
  <c r="X35" i="4"/>
  <c r="W32" i="4"/>
  <c r="W33" i="4"/>
  <c r="X32" i="4"/>
  <c r="X33" i="4"/>
  <c r="W31" i="4"/>
  <c r="X31" i="4"/>
  <c r="Y40" i="4" l="1"/>
  <c r="Z40" i="4" s="1"/>
  <c r="AB40" i="4" s="1"/>
  <c r="Y42" i="4"/>
  <c r="Z42" i="4" s="1"/>
  <c r="AB42" i="4" s="1"/>
  <c r="Y44" i="4"/>
  <c r="Z44" i="4" s="1"/>
  <c r="AB44" i="4" s="1"/>
  <c r="Y38" i="4"/>
  <c r="Z38" i="4" s="1"/>
  <c r="AB38" i="4" s="1"/>
  <c r="Y45" i="4"/>
  <c r="Z45" i="4" s="1"/>
  <c r="AB45" i="4" s="1"/>
  <c r="Y36" i="4"/>
  <c r="Z36" i="4" s="1"/>
  <c r="AB36" i="4" s="1"/>
  <c r="Y43" i="4"/>
  <c r="Z43" i="4" s="1"/>
  <c r="AB43" i="4" s="1"/>
  <c r="Y34" i="4"/>
  <c r="Z34" i="4" s="1"/>
  <c r="AB34" i="4" s="1"/>
  <c r="Y39" i="4"/>
  <c r="Z39" i="4" s="1"/>
  <c r="AB39" i="4" s="1"/>
  <c r="Y35" i="4"/>
  <c r="Z35" i="4" s="1"/>
  <c r="AB35" i="4" s="1"/>
  <c r="I62" i="7"/>
  <c r="I60" i="7" l="1"/>
  <c r="I55" i="7"/>
  <c r="X10" i="4" l="1"/>
  <c r="X11" i="4"/>
  <c r="X12" i="4"/>
  <c r="X13" i="4"/>
  <c r="X14" i="4"/>
  <c r="X15" i="4"/>
  <c r="X16" i="4"/>
  <c r="X17" i="4"/>
  <c r="X18" i="4"/>
  <c r="X19" i="4"/>
  <c r="X20" i="4"/>
  <c r="X21" i="4"/>
  <c r="X22" i="4"/>
  <c r="X23" i="4"/>
  <c r="X24" i="4"/>
  <c r="X25" i="4"/>
  <c r="X26" i="4"/>
  <c r="X27" i="4"/>
  <c r="X28" i="4"/>
  <c r="X29" i="4"/>
  <c r="X30" i="4"/>
  <c r="W10" i="4"/>
  <c r="W11" i="4"/>
  <c r="W12" i="4"/>
  <c r="W13" i="4"/>
  <c r="W14" i="4"/>
  <c r="W15" i="4"/>
  <c r="W16" i="4"/>
  <c r="W17" i="4"/>
  <c r="W18" i="4"/>
  <c r="W19" i="4"/>
  <c r="W20" i="4"/>
  <c r="W21" i="4"/>
  <c r="W22" i="4"/>
  <c r="W23" i="4"/>
  <c r="W24" i="4"/>
  <c r="W25" i="4"/>
  <c r="W26" i="4"/>
  <c r="W27" i="4"/>
  <c r="W28" i="4"/>
  <c r="W29" i="4"/>
  <c r="W30" i="4"/>
  <c r="Y31" i="4" l="1"/>
  <c r="Z31" i="4" s="1"/>
  <c r="AB31" i="4" s="1"/>
  <c r="Y33" i="4"/>
  <c r="Z33" i="4" s="1"/>
  <c r="AB33" i="4" s="1"/>
  <c r="Y32" i="4"/>
  <c r="Z32" i="4" s="1"/>
  <c r="AB32" i="4" s="1"/>
  <c r="Y12" i="4"/>
  <c r="Y13" i="4"/>
  <c r="Y14" i="4"/>
  <c r="Y15" i="4"/>
  <c r="Y16" i="4"/>
  <c r="Y17" i="4"/>
  <c r="Y18" i="4"/>
  <c r="Y19" i="4"/>
  <c r="Y20" i="4"/>
  <c r="Y21" i="4"/>
  <c r="Y22" i="4"/>
  <c r="Y23" i="4"/>
  <c r="Y24" i="4"/>
  <c r="Y25" i="4"/>
  <c r="Y26" i="4"/>
  <c r="Y27" i="4"/>
  <c r="Y28" i="4"/>
  <c r="Y29" i="4"/>
  <c r="Y30" i="4"/>
  <c r="Y10" i="4"/>
  <c r="Y11" i="4"/>
  <c r="C80" i="7"/>
  <c r="Z13" i="4" l="1"/>
  <c r="Z14" i="4"/>
  <c r="Z15" i="4"/>
  <c r="Z16" i="4"/>
  <c r="Z17" i="4"/>
  <c r="Z18" i="4"/>
  <c r="Z19" i="4"/>
  <c r="Z20" i="4"/>
  <c r="Z21" i="4"/>
  <c r="Z22" i="4"/>
  <c r="Z23" i="4"/>
  <c r="Z24" i="4"/>
  <c r="Z25" i="4"/>
  <c r="Z26" i="4"/>
  <c r="Z27" i="4"/>
  <c r="Z28" i="4"/>
  <c r="Z29" i="4"/>
  <c r="Z30" i="4"/>
  <c r="B29" i="7"/>
  <c r="B28" i="7" l="1"/>
  <c r="B27" i="7"/>
  <c r="Z11" i="4" l="1"/>
  <c r="Z10" i="4"/>
  <c r="AB10" i="4" s="1"/>
  <c r="H62" i="7" l="1"/>
  <c r="H60" i="7"/>
  <c r="H55" i="7"/>
  <c r="H58" i="7" l="1"/>
  <c r="H53" i="7"/>
  <c r="A6" i="7" l="1"/>
  <c r="A4" i="7"/>
  <c r="A3" i="7"/>
  <c r="D4" i="7"/>
  <c r="D3" i="7"/>
  <c r="F6" i="7" l="1"/>
  <c r="D6" i="7"/>
  <c r="F3" i="7"/>
  <c r="E3" i="4"/>
  <c r="AB30" i="4" l="1"/>
  <c r="AB29" i="4"/>
  <c r="AB28" i="4"/>
  <c r="AB27" i="4"/>
  <c r="AB26" i="4"/>
  <c r="AB25" i="4"/>
  <c r="AB24" i="4"/>
  <c r="AB23" i="4"/>
  <c r="AB22" i="4"/>
  <c r="AB21" i="4"/>
  <c r="AB20" i="4"/>
  <c r="AB19" i="4"/>
  <c r="AB18" i="4"/>
  <c r="AB17" i="4"/>
  <c r="AB16" i="4"/>
  <c r="AB14" i="4" l="1"/>
  <c r="AB15" i="4"/>
  <c r="AB12" i="4" l="1"/>
  <c r="AB13" i="4" l="1"/>
  <c r="B53" i="7"/>
  <c r="B54" i="7"/>
  <c r="B55" i="7"/>
  <c r="B56" i="7"/>
  <c r="B57" i="7"/>
  <c r="B58" i="7"/>
  <c r="B59" i="7"/>
  <c r="B60" i="7"/>
  <c r="B61" i="7"/>
  <c r="B62" i="7"/>
  <c r="B63" i="7"/>
  <c r="B64" i="7"/>
  <c r="B65" i="7"/>
  <c r="B66" i="7"/>
  <c r="B67" i="7"/>
  <c r="B68" i="7"/>
  <c r="C68" i="7" l="1"/>
  <c r="C64" i="7"/>
  <c r="C60" i="7"/>
  <c r="D60" i="7"/>
  <c r="C56" i="7"/>
  <c r="D56" i="7"/>
  <c r="C67" i="7"/>
  <c r="D67" i="7"/>
  <c r="C63" i="7"/>
  <c r="C59" i="7"/>
  <c r="D59" i="7"/>
  <c r="C66" i="7"/>
  <c r="D66" i="7"/>
  <c r="C62" i="7"/>
  <c r="C58" i="7"/>
  <c r="D58" i="7"/>
  <c r="C54" i="7"/>
  <c r="D54" i="7"/>
  <c r="C65" i="7"/>
  <c r="C61" i="7"/>
  <c r="C57" i="7"/>
  <c r="D57" i="7"/>
  <c r="C53" i="7"/>
  <c r="C55" i="7"/>
  <c r="C33" i="7"/>
  <c r="B33" i="7" s="1"/>
  <c r="C34" i="7"/>
  <c r="B34" i="7" s="1"/>
  <c r="C35" i="7"/>
  <c r="B35" i="7" s="1"/>
  <c r="C36" i="7"/>
  <c r="B36" i="7" s="1"/>
  <c r="C37" i="7"/>
  <c r="B37" i="7" s="1"/>
  <c r="C38" i="7"/>
  <c r="B38" i="7" s="1"/>
  <c r="C39" i="7"/>
  <c r="B39" i="7" s="1"/>
  <c r="C40" i="7"/>
  <c r="B40" i="7" s="1"/>
  <c r="C41" i="7"/>
  <c r="B41" i="7" s="1"/>
  <c r="C42" i="7"/>
  <c r="B42" i="7" s="1"/>
  <c r="C43" i="7"/>
  <c r="B43" i="7" s="1"/>
  <c r="C44" i="7"/>
  <c r="B44" i="7" s="1"/>
  <c r="C45" i="7"/>
  <c r="B45" i="7" s="1"/>
  <c r="D26" i="7"/>
  <c r="C31" i="7"/>
  <c r="B31" i="7" s="1"/>
  <c r="AB11" i="4" l="1"/>
  <c r="D65" i="7" l="1"/>
  <c r="D68" i="7"/>
  <c r="D63" i="7"/>
  <c r="D64" i="7"/>
  <c r="D61" i="7"/>
  <c r="D62" i="7"/>
  <c r="D55" i="7"/>
  <c r="D53" i="7"/>
  <c r="AP12" i="6"/>
  <c r="C32" i="7"/>
  <c r="B32" i="7" s="1"/>
  <c r="AX25" i="6"/>
  <c r="AY25" i="6" s="1"/>
  <c r="AX26" i="6"/>
  <c r="AY26" i="6" s="1"/>
  <c r="AX27" i="6"/>
  <c r="AY27" i="6" s="1"/>
  <c r="AX28" i="6"/>
  <c r="AY28" i="6" s="1"/>
  <c r="AX29" i="6"/>
  <c r="AY29" i="6" s="1"/>
  <c r="AX30" i="6"/>
  <c r="AY30" i="6" s="1"/>
  <c r="AX31" i="6"/>
  <c r="AY31" i="6" s="1"/>
  <c r="AX32" i="6"/>
  <c r="AY32" i="6" s="1"/>
  <c r="AX33" i="6"/>
  <c r="AY33" i="6" s="1"/>
  <c r="AX13" i="6"/>
  <c r="AY13" i="6" s="1"/>
  <c r="AX14" i="6"/>
  <c r="AY14" i="6" s="1"/>
  <c r="AX15" i="6"/>
  <c r="AY15" i="6" s="1"/>
  <c r="AX16" i="6"/>
  <c r="AY16" i="6" s="1"/>
  <c r="AX17" i="6"/>
  <c r="AY17" i="6" s="1"/>
  <c r="AX12" i="6"/>
  <c r="AY12" i="6" s="1"/>
  <c r="AZ33" i="6"/>
  <c r="AZ32" i="6"/>
  <c r="AZ31" i="6"/>
  <c r="AZ30" i="6"/>
  <c r="AZ29" i="6"/>
  <c r="AZ28" i="6"/>
  <c r="AZ27" i="6"/>
  <c r="AZ26" i="6"/>
  <c r="AZ25" i="6"/>
  <c r="AZ24" i="6"/>
  <c r="AZ13" i="6"/>
  <c r="AZ14" i="6"/>
  <c r="AZ15" i="6"/>
  <c r="AZ16" i="6"/>
  <c r="AZ17" i="6"/>
  <c r="AZ18" i="6"/>
  <c r="AZ12" i="6"/>
  <c r="D30" i="7"/>
  <c r="AH34" i="6"/>
  <c r="AH35" i="6"/>
  <c r="AJ35" i="6" s="1"/>
  <c r="AH36" i="6"/>
  <c r="AJ36" i="6" s="1"/>
  <c r="AH37" i="6"/>
  <c r="AJ37" i="6" s="1"/>
  <c r="AH38" i="6"/>
  <c r="AJ38" i="6" s="1"/>
  <c r="AH39" i="6"/>
  <c r="AJ39" i="6" s="1"/>
  <c r="AH40" i="6"/>
  <c r="AJ40" i="6" s="1"/>
  <c r="AH41" i="6"/>
  <c r="AJ41" i="6" s="1"/>
  <c r="AH42" i="6"/>
  <c r="AJ42" i="6" s="1"/>
  <c r="AH33" i="6"/>
  <c r="AI33" i="6" s="1"/>
  <c r="AI34" i="6" l="1"/>
  <c r="BA12" i="6"/>
  <c r="BA31" i="6"/>
  <c r="BA16" i="6"/>
  <c r="BA25" i="6"/>
  <c r="BA14" i="6"/>
  <c r="AJ33" i="6"/>
  <c r="AK33" i="6" s="1"/>
  <c r="BA17" i="6"/>
  <c r="BA13" i="6"/>
  <c r="BA27" i="6"/>
  <c r="AI35" i="6"/>
  <c r="AI36" i="6" s="1"/>
  <c r="BA28" i="6"/>
  <c r="AJ34" i="6"/>
  <c r="AK34" i="6" s="1"/>
  <c r="BA30" i="6"/>
  <c r="BA32" i="6"/>
  <c r="BA33" i="6"/>
  <c r="BA15" i="6"/>
  <c r="BA29" i="6"/>
  <c r="AP13" i="6"/>
  <c r="AO24" i="6" s="1"/>
  <c r="AK35" i="6"/>
  <c r="BA26" i="6"/>
  <c r="BA19" i="6" l="1"/>
  <c r="BA34" i="6"/>
  <c r="AO19" i="6"/>
  <c r="AO25" i="6" s="1"/>
  <c r="AO26" i="6" s="1"/>
  <c r="AP32" i="6" s="1"/>
  <c r="H59" i="7" s="1"/>
  <c r="AK36" i="6"/>
  <c r="AI37" i="6"/>
  <c r="AI38" i="6" l="1"/>
  <c r="AK37" i="6"/>
  <c r="AK38" i="6" l="1"/>
  <c r="AI39" i="6"/>
  <c r="AI40" i="6" l="1"/>
  <c r="AK39" i="6"/>
  <c r="AI41" i="6" l="1"/>
  <c r="AK40" i="6"/>
  <c r="AI42" i="6" l="1"/>
  <c r="AK42" i="6" s="1"/>
  <c r="AK41" i="6"/>
  <c r="E54" i="7"/>
  <c r="J54" i="7" s="1"/>
  <c r="E55" i="7"/>
  <c r="J55" i="7" s="1"/>
  <c r="E56" i="7"/>
  <c r="J56" i="7" s="1"/>
  <c r="E57" i="7"/>
  <c r="J57" i="7" s="1"/>
  <c r="E58" i="7"/>
  <c r="J58" i="7" s="1"/>
  <c r="E59" i="7"/>
  <c r="J59" i="7" s="1"/>
  <c r="E60" i="7"/>
  <c r="J60" i="7" s="1"/>
  <c r="E61" i="7"/>
  <c r="J61" i="7" s="1"/>
  <c r="E62" i="7"/>
  <c r="J62" i="7" s="1"/>
  <c r="E63" i="7"/>
  <c r="J63" i="7" s="1"/>
  <c r="E64" i="7"/>
  <c r="J64" i="7" s="1"/>
  <c r="E65" i="7"/>
  <c r="J65" i="7" s="1"/>
  <c r="E66" i="7"/>
  <c r="J66" i="7" s="1"/>
  <c r="E67" i="7"/>
  <c r="J67" i="7" s="1"/>
  <c r="E68" i="7"/>
  <c r="J68" i="7" s="1"/>
  <c r="E53" i="7"/>
  <c r="J53" i="7" s="1"/>
  <c r="J69" i="7" l="1"/>
</calcChain>
</file>

<file path=xl/comments1.xml><?xml version="1.0" encoding="utf-8"?>
<comments xmlns="http://schemas.openxmlformats.org/spreadsheetml/2006/main">
  <authors>
    <author>Juan Camilo Torres</author>
  </authors>
  <commentList>
    <comment ref="A13" authorId="0" shapeId="0">
      <text>
        <r>
          <rPr>
            <b/>
            <sz val="9"/>
            <color indexed="81"/>
            <rFont val="Tahoma"/>
            <family val="2"/>
          </rPr>
          <t>En cada linea agregar solo el contenido que se ajuste sin tener que cambiar las dimensiones de las filas.
Cuando sea necesario, recomendamos usar un guion (-) para indicar que la palabra continua en la otra linea.</t>
        </r>
      </text>
    </comment>
  </commentList>
</comments>
</file>

<file path=xl/sharedStrings.xml><?xml version="1.0" encoding="utf-8"?>
<sst xmlns="http://schemas.openxmlformats.org/spreadsheetml/2006/main" count="354" uniqueCount="246">
  <si>
    <t>X</t>
  </si>
  <si>
    <t>CODIGO</t>
  </si>
  <si>
    <t>Y</t>
  </si>
  <si>
    <t>Circular</t>
  </si>
  <si>
    <t>PERFORACION</t>
  </si>
  <si>
    <t>#</t>
  </si>
  <si>
    <t>COMENTARIOS</t>
  </si>
  <si>
    <t>F</t>
  </si>
  <si>
    <t>Rectangular</t>
  </si>
  <si>
    <t>OBSERVACIONES:</t>
  </si>
  <si>
    <t>UBICACIÓN</t>
  </si>
  <si>
    <t>TIPO DE BASE</t>
  </si>
  <si>
    <t>Piso</t>
  </si>
  <si>
    <t>Muro</t>
  </si>
  <si>
    <t>Techo</t>
  </si>
  <si>
    <t>C</t>
  </si>
  <si>
    <t>W</t>
  </si>
  <si>
    <t>Piso-Muro</t>
  </si>
  <si>
    <t>Techo-Muro</t>
  </si>
  <si>
    <t>Muro-Muro</t>
  </si>
  <si>
    <t>FW</t>
  </si>
  <si>
    <t>CW</t>
  </si>
  <si>
    <t>WW</t>
  </si>
  <si>
    <t>MAETRIAL BASE</t>
  </si>
  <si>
    <t>Drywall/Yeso</t>
  </si>
  <si>
    <t>FORMAS DE PERFORACIÓN</t>
  </si>
  <si>
    <t>Irregular</t>
  </si>
  <si>
    <t>PASANTES COMUNES</t>
  </si>
  <si>
    <t>PRODUCTOS Hilti</t>
  </si>
  <si>
    <t>SELLO CORTAFUEGO HILTI</t>
  </si>
  <si>
    <t>Espuma poliuretano</t>
  </si>
  <si>
    <t>Sellador intumescente</t>
  </si>
  <si>
    <t>Espuma intumescente</t>
  </si>
  <si>
    <t>Sellante intumescente</t>
  </si>
  <si>
    <t>Mortero cortafuego</t>
  </si>
  <si>
    <t>Sellador elastomérico</t>
  </si>
  <si>
    <t>Spray para juntas (rojo)</t>
  </si>
  <si>
    <t xml:space="preserve">CF-AS CJP </t>
  </si>
  <si>
    <t>CP 620</t>
  </si>
  <si>
    <t>CP 618</t>
  </si>
  <si>
    <t>CFS BL</t>
  </si>
  <si>
    <t>CP 637</t>
  </si>
  <si>
    <t>CFS-SP WB</t>
  </si>
  <si>
    <t>CP 606</t>
  </si>
  <si>
    <t>Sellante acrilico flexible</t>
  </si>
  <si>
    <t>Ladrillo intumescente</t>
  </si>
  <si>
    <t>CP 678</t>
  </si>
  <si>
    <t>Pintura intumescente</t>
  </si>
  <si>
    <t>CP 679 A</t>
  </si>
  <si>
    <t>CP 648E 1"</t>
  </si>
  <si>
    <t>CP 648E 1-¾"</t>
  </si>
  <si>
    <t>Cinta intumescente</t>
  </si>
  <si>
    <t>CP 643-110/4"</t>
  </si>
  <si>
    <t>CP 643-160/6"</t>
  </si>
  <si>
    <t>Collarín cortafuego</t>
  </si>
  <si>
    <t>ACTIVIDAD DE PASANTES</t>
  </si>
  <si>
    <t>Altamente Activo</t>
  </si>
  <si>
    <t>Moderadamente activo</t>
  </si>
  <si>
    <t>Inactivo</t>
  </si>
  <si>
    <t>AA</t>
  </si>
  <si>
    <t>MA</t>
  </si>
  <si>
    <t>IA</t>
  </si>
  <si>
    <t>ELEMENTO BASE</t>
  </si>
  <si>
    <t xml:space="preserve"> </t>
  </si>
  <si>
    <t>capas</t>
  </si>
  <si>
    <t>D0</t>
  </si>
  <si>
    <t>RENDIMIENTOS DE CINTA FS</t>
  </si>
  <si>
    <t>error</t>
  </si>
  <si>
    <t>cm</t>
  </si>
  <si>
    <t>%</t>
  </si>
  <si>
    <t>El rendimiento de las cintas están caculadas con base en las siguientes expresiones:</t>
  </si>
  <si>
    <t xml:space="preserve">A1 = </t>
  </si>
  <si>
    <t xml:space="preserve">An = </t>
  </si>
  <si>
    <r>
      <rPr>
        <sz val="14"/>
        <color theme="1"/>
        <rFont val="Script MT Bold"/>
        <family val="4"/>
      </rPr>
      <t>n</t>
    </r>
    <r>
      <rPr>
        <sz val="10"/>
        <color theme="1"/>
        <rFont val="Script MT Bold"/>
        <family val="4"/>
      </rPr>
      <t xml:space="preserve"> – 1</t>
    </r>
  </si>
  <si>
    <t>Ejemplo de cálculo</t>
  </si>
  <si>
    <r>
      <t>S</t>
    </r>
    <r>
      <rPr>
        <i/>
        <sz val="8"/>
        <color theme="1"/>
        <rFont val="Arial"/>
        <family val="2"/>
      </rPr>
      <t>apx</t>
    </r>
  </si>
  <si>
    <r>
      <t>S</t>
    </r>
    <r>
      <rPr>
        <i/>
        <sz val="8"/>
        <color theme="1"/>
        <rFont val="Arial"/>
        <family val="2"/>
      </rPr>
      <t>opt</t>
    </r>
  </si>
  <si>
    <t>Paca de lana</t>
  </si>
  <si>
    <t>Foil/Cartucho</t>
  </si>
  <si>
    <t>Caneca</t>
  </si>
  <si>
    <t>Barra moldeable</t>
  </si>
  <si>
    <t>Bloque (2x5x8in)</t>
  </si>
  <si>
    <t>Bulto (30 lb)</t>
  </si>
  <si>
    <t>RENDIMIENTOS DE MORTERO FS</t>
  </si>
  <si>
    <t>El rendimiento del mortero está caculado con base en las siguientes expresiones:</t>
  </si>
  <si>
    <t>Peso mortero</t>
  </si>
  <si>
    <t>Peso agua</t>
  </si>
  <si>
    <t>Relación:</t>
  </si>
  <si>
    <t>Peso total mezcla</t>
  </si>
  <si>
    <t>Determinación de densidad de mezcla</t>
  </si>
  <si>
    <t>Densidad mortero</t>
  </si>
  <si>
    <t>Densidad agua</t>
  </si>
  <si>
    <t>Densidad promedio</t>
  </si>
  <si>
    <t>Determinación del volumen colocado</t>
  </si>
  <si>
    <t>Densidad de mezcla</t>
  </si>
  <si>
    <t>Peso de mezcla</t>
  </si>
  <si>
    <t>Volumen de mezcla</t>
  </si>
  <si>
    <t>Según este resultado, 1 bulto de mortero, mezclado con agua en la relación indicada, tiene un volumen de:</t>
  </si>
  <si>
    <t>Caneca (20kg)</t>
  </si>
  <si>
    <t>NOTAS :</t>
  </si>
  <si>
    <t>Resumen de productos especificados</t>
  </si>
  <si>
    <t>R E S U M E N    E J E C U T I V O</t>
  </si>
  <si>
    <t>APRUEBA:</t>
  </si>
  <si>
    <t xml:space="preserve"> REALIZADO POR:</t>
  </si>
  <si>
    <t>Observaciones Generales</t>
  </si>
  <si>
    <t>Volumen Colocado</t>
  </si>
  <si>
    <t>Junta delgada</t>
  </si>
  <si>
    <t>REQUERIMIENTO            TOTAL</t>
  </si>
  <si>
    <t>-</t>
  </si>
  <si>
    <t>PRODUCTO  HILTI</t>
  </si>
  <si>
    <t>Descripción</t>
  </si>
  <si>
    <t>Código</t>
  </si>
  <si>
    <t>Junta steeldeck</t>
  </si>
  <si>
    <t>Ducto circular</t>
  </si>
  <si>
    <t>Ducto rectangular</t>
  </si>
  <si>
    <t>El volumen de llenado de la junta depende del tipo de perfil y de la separación con el murode apoyo.</t>
  </si>
  <si>
    <t>mm</t>
  </si>
  <si>
    <t>m3/m2</t>
  </si>
  <si>
    <t>COLMENA</t>
  </si>
  <si>
    <t>ACESCO</t>
  </si>
  <si>
    <t>OSTRILLION</t>
  </si>
  <si>
    <t>Otro</t>
  </si>
  <si>
    <t>concreto</t>
  </si>
  <si>
    <t>seccion concreto</t>
  </si>
  <si>
    <t>espesor junta</t>
  </si>
  <si>
    <t>area de junta</t>
  </si>
  <si>
    <t>m2/m</t>
  </si>
  <si>
    <t>espesor de losa</t>
  </si>
  <si>
    <t>CONSUMO CONCRETO</t>
  </si>
  <si>
    <t>2"</t>
  </si>
  <si>
    <t>3"</t>
  </si>
  <si>
    <t>cm2/m</t>
  </si>
  <si>
    <t>Lámina colaborante de 2"</t>
  </si>
  <si>
    <t>Lámina colaborante de 3"</t>
  </si>
  <si>
    <t>ESTIMACIÓN DE AREA DE SELLO | JUNTAS STEELDECK</t>
  </si>
  <si>
    <t>Sellos de juntas</t>
  </si>
  <si>
    <t>Cable/Grupo de cables</t>
  </si>
  <si>
    <t>UNIDADES
ESPECIFICADAS</t>
  </si>
  <si>
    <t>Collares</t>
  </si>
  <si>
    <t>Resumen de sellos cortafuego por instalar y elementos a proteger</t>
  </si>
  <si>
    <t>Rollo (10m)</t>
  </si>
  <si>
    <t>ASESOR COMERCIAL:</t>
  </si>
  <si>
    <t>Ninguno (Blank)</t>
  </si>
  <si>
    <t>Blindobarra</t>
  </si>
  <si>
    <t>Tubería hidro-llena</t>
  </si>
  <si>
    <t>Tubería hidro-parcial</t>
  </si>
  <si>
    <t>Tubería metal</t>
  </si>
  <si>
    <t>Tubería no metal</t>
  </si>
  <si>
    <t>Bandeja PC</t>
  </si>
  <si>
    <t>Componente mecanico</t>
  </si>
  <si>
    <t>Caja (interruptor u otros)</t>
  </si>
  <si>
    <t>Tubería no metal aislada</t>
  </si>
  <si>
    <t>Tubería metal aislada</t>
  </si>
  <si>
    <t xml:space="preserve">TIPO
</t>
  </si>
  <si>
    <t>REGISTRO GRÁFICO</t>
  </si>
  <si>
    <t>desp
%</t>
  </si>
  <si>
    <t xml:space="preserve">FORMA
</t>
  </si>
  <si>
    <t xml:space="preserve">MATERIAL
</t>
  </si>
  <si>
    <t>PRODUCTO
HILTI</t>
  </si>
  <si>
    <t>Sellos perimetrales o de fachada</t>
  </si>
  <si>
    <t>Sellos de pases en muros/pisos/techos</t>
  </si>
  <si>
    <t>Piso-Piso</t>
  </si>
  <si>
    <t>FF</t>
  </si>
  <si>
    <t>Muro Cortina / fachada</t>
  </si>
  <si>
    <t>HW</t>
  </si>
  <si>
    <t>ELEMENTO PASANTE</t>
  </si>
  <si>
    <t>INSERTAR LAS IMÁGENES DEL REGISTRO FOTOGRÁFICO VINCULADAS A LA PLANILLA.</t>
  </si>
  <si>
    <t>Indicar el código de la especificación + la imagen en cada caso.</t>
  </si>
  <si>
    <t>CANTIDAD
 NETA</t>
  </si>
  <si>
    <t>TIPO</t>
  </si>
  <si>
    <t>Para / To:</t>
  </si>
  <si>
    <t>De / From:</t>
  </si>
  <si>
    <t>Fecha /Date:</t>
  </si>
  <si>
    <t>DEPARTAMENTO</t>
  </si>
  <si>
    <t xml:space="preserve">Asunto / Subject: </t>
  </si>
  <si>
    <t>Memo:</t>
  </si>
  <si>
    <t>CLIENTE</t>
  </si>
  <si>
    <t>USO</t>
  </si>
  <si>
    <r>
      <rPr>
        <sz val="6"/>
        <rFont val="Arial"/>
        <family val="2"/>
      </rPr>
      <t xml:space="preserve">LLENADO
</t>
    </r>
    <r>
      <rPr>
        <b/>
        <sz val="6"/>
        <rFont val="Arial"/>
        <family val="2"/>
      </rPr>
      <t>%</t>
    </r>
  </si>
  <si>
    <r>
      <rPr>
        <sz val="5"/>
        <rFont val="Arial"/>
        <family val="2"/>
      </rPr>
      <t>ESPESOR</t>
    </r>
    <r>
      <rPr>
        <b/>
        <sz val="6"/>
        <rFont val="Arial"/>
        <family val="2"/>
      </rPr>
      <t xml:space="preserve">
tw</t>
    </r>
  </si>
  <si>
    <t>Nombre de remitente</t>
  </si>
  <si>
    <r>
      <rPr>
        <sz val="6"/>
        <rFont val="Arial"/>
        <family val="2"/>
      </rPr>
      <t>ESPESOR</t>
    </r>
    <r>
      <rPr>
        <b/>
        <sz val="6"/>
        <rFont val="Arial"/>
        <family val="2"/>
      </rPr>
      <t xml:space="preserve">
ds</t>
    </r>
  </si>
  <si>
    <t>Ag</t>
  </si>
  <si>
    <t>Ap</t>
  </si>
  <si>
    <t>As
(Ag – Ap)</t>
  </si>
  <si>
    <r>
      <rPr>
        <sz val="6"/>
        <rFont val="Arial"/>
        <family val="2"/>
      </rPr>
      <t>SUBTOTAL</t>
    </r>
    <r>
      <rPr>
        <b/>
        <sz val="6"/>
        <rFont val="Arial"/>
        <family val="2"/>
      </rPr>
      <t xml:space="preserve">
(As ∙ ds)</t>
    </r>
  </si>
  <si>
    <t>Descripción del proyecto; incluir nombre de la obra/proyecto.</t>
  </si>
  <si>
    <t>HES-FS-…</t>
  </si>
  <si>
    <t>Las siguientes cantidades resumen cuantitativamente la cantidad de protección que se requiere para el proyecto en términos de cuantos sellos cortafuego se han especificado para proteger cuantos elementos pasantes, en juntas y en sellos de fachadas y perimetrales.</t>
  </si>
  <si>
    <t>CFS-S SIL GG</t>
  </si>
  <si>
    <t>Detalles de sellos CF</t>
  </si>
  <si>
    <r>
      <t>1) Las perforaciones señaladas como</t>
    </r>
    <r>
      <rPr>
        <b/>
        <i/>
        <sz val="10"/>
        <color rgb="FFC00000"/>
        <rFont val="Arial"/>
        <family val="2"/>
      </rPr>
      <t xml:space="preserve"> irregulares</t>
    </r>
    <r>
      <rPr>
        <i/>
        <sz val="10"/>
        <color theme="1"/>
        <rFont val="Arial"/>
        <family val="2"/>
      </rPr>
      <t xml:space="preserve">, deben ser corregidas en obra para cumplir con las dimensiones recomendadas por el especificador e indicadas en los documentos de soporte correspondientes. Se deben emplear materiales (concreto, mampostería, drywall, etc) que garanticen la integridad del elemento original (muro o piso) y una resistencia al fuego y al humo igual o mayor a la de los diseños originales del elemento.
</t>
    </r>
  </si>
  <si>
    <t>2) Las cantidades definitivas pueden variar en función del buen manejo, capacitación y experticia de los operarios así como de las condiciones de instalación de los productos. No se incluyen en este informe, los precios de los productos, accesorios y/o útiles necesarios para la instalación en obra de los sellos especificados. Los impuestos, los descuentos para el cliente (cuando aplique) y los precios definitivos de compra, se indican formalmente en la cotización y/o en la factura de venta correspondiente anexada según requerimiento del cliente.</t>
  </si>
  <si>
    <t>(promedio ponderado en peso)</t>
  </si>
  <si>
    <t>a</t>
  </si>
  <si>
    <t>b</t>
  </si>
  <si>
    <r>
      <t xml:space="preserve">AS
</t>
    </r>
    <r>
      <rPr>
        <b/>
        <sz val="6"/>
        <rFont val="Arial"/>
        <family val="2"/>
      </rPr>
      <t>min/max</t>
    </r>
  </si>
  <si>
    <t>FS-ONE Max</t>
  </si>
  <si>
    <t>RESULTADOS</t>
  </si>
  <si>
    <t>Junta irregular</t>
  </si>
  <si>
    <t>Rendimiento Unitario</t>
  </si>
  <si>
    <t>Junta perimetral</t>
  </si>
  <si>
    <t>Madera/Vidrio/Otros</t>
  </si>
  <si>
    <t xml:space="preserve"> # </t>
  </si>
  <si>
    <t>Mamposteria (arcilla, concreto, etc)</t>
  </si>
  <si>
    <t>Concreto (normal, ligero, etc)</t>
  </si>
  <si>
    <t>CERTIF.</t>
  </si>
  <si>
    <t>PRECIO DE VENTA</t>
  </si>
  <si>
    <t>SUBTOTAL ESPECIFICACION</t>
  </si>
  <si>
    <t>Nombre de destinatario</t>
  </si>
  <si>
    <t>η</t>
  </si>
  <si>
    <t>La información presentada en este documento debe ser validada por el responsable del proyecto. Hilti no se responsabiliza</t>
  </si>
  <si>
    <t>por cambios en las cantidades debidos a cambios en diseño/obra, por mal manejo y/o manipulación de los mismos.</t>
  </si>
  <si>
    <t xml:space="preserve">Los sellos cortafuegos requieren de una revisión y un juicio de ingeniería (EJ) específico para el caso. </t>
  </si>
  <si>
    <t>Las cantidades estimadas se calculan con base en la certificación UL más apróximada.</t>
  </si>
  <si>
    <t>Lana mineral 122x61x10cm</t>
  </si>
  <si>
    <t>CFS-WB</t>
  </si>
  <si>
    <t>Bandejas + cableado</t>
  </si>
  <si>
    <t>Juntas &lt;2cm</t>
  </si>
  <si>
    <t>1A</t>
  </si>
  <si>
    <t>1B</t>
  </si>
  <si>
    <t>2A</t>
  </si>
  <si>
    <t>2B</t>
  </si>
  <si>
    <t>3A</t>
  </si>
  <si>
    <t>3B</t>
  </si>
  <si>
    <t>4A</t>
  </si>
  <si>
    <t>4B</t>
  </si>
  <si>
    <t>5A</t>
  </si>
  <si>
    <t>5B</t>
  </si>
  <si>
    <t>6A</t>
  </si>
  <si>
    <t>6B</t>
  </si>
  <si>
    <t>7A</t>
  </si>
  <si>
    <t>7B</t>
  </si>
  <si>
    <t>8A</t>
  </si>
  <si>
    <t>8B</t>
  </si>
  <si>
    <t>9A</t>
  </si>
  <si>
    <t>9B</t>
  </si>
  <si>
    <t>W-L-4060</t>
  </si>
  <si>
    <t>BW-S-0001</t>
  </si>
  <si>
    <t>HW-D-0083</t>
  </si>
  <si>
    <t>Tub metalica &lt;4 con aislamiento</t>
  </si>
  <si>
    <t>Tub metalica &lt;4 sin aislamiento</t>
  </si>
  <si>
    <t>W-L-5257</t>
  </si>
  <si>
    <t>W-L-1297</t>
  </si>
  <si>
    <t>Tub no metalica &lt;4 con aislamiento</t>
  </si>
  <si>
    <t>W-L-5225</t>
  </si>
</sst>
</file>

<file path=xl/styles.xml><?xml version="1.0" encoding="utf-8"?>
<styleSheet xmlns="http://schemas.openxmlformats.org/spreadsheetml/2006/main" xmlns:mc="http://schemas.openxmlformats.org/markup-compatibility/2006" xmlns:x14ac="http://schemas.microsoft.com/office/spreadsheetml/2009/9/ac" mc:Ignorable="x14ac">
  <numFmts count="14">
    <numFmt numFmtId="164" formatCode="0.0&quot; cm&quot;"/>
    <numFmt numFmtId="165" formatCode="0.00&quot; m&quot;"/>
    <numFmt numFmtId="166" formatCode="0.00&quot; cm2&quot;"/>
    <numFmt numFmtId="167" formatCode="0.0&quot; cm3&quot;"/>
    <numFmt numFmtId="168" formatCode="0.0"/>
    <numFmt numFmtId="169" formatCode="0&quot; unid&quot;"/>
    <numFmt numFmtId="170" formatCode="0.0&quot; m&quot;"/>
    <numFmt numFmtId="171" formatCode="0.0&quot; kg&quot;"/>
    <numFmt numFmtId="172" formatCode="0.0&quot; kg/m3&quot;"/>
    <numFmt numFmtId="173" formatCode="0.0000&quot; m3&quot;"/>
    <numFmt numFmtId="174" formatCode="0.0&quot; :&quot;"/>
    <numFmt numFmtId="175" formatCode="0.000"/>
    <numFmt numFmtId="176" formatCode="[$-240A]d&quot; / &quot;mmm&quot; / &quot;yyyy;@"/>
    <numFmt numFmtId="177" formatCode="[$$-240A]\ #,##0"/>
  </numFmts>
  <fonts count="47" x14ac:knownFonts="1">
    <font>
      <sz val="10"/>
      <color theme="1"/>
      <name val="Arial"/>
      <family val="2"/>
    </font>
    <font>
      <sz val="10"/>
      <color theme="1"/>
      <name val="Arial"/>
      <family val="2"/>
    </font>
    <font>
      <sz val="8"/>
      <color theme="1"/>
      <name val="Arial"/>
      <family val="2"/>
    </font>
    <font>
      <sz val="8"/>
      <name val="Arial"/>
      <family val="2"/>
    </font>
    <font>
      <b/>
      <sz val="10"/>
      <color theme="1"/>
      <name val="Arial"/>
      <family val="2"/>
    </font>
    <font>
      <b/>
      <sz val="12"/>
      <color theme="1"/>
      <name val="Arial"/>
      <family val="2"/>
    </font>
    <font>
      <sz val="12"/>
      <color theme="1"/>
      <name val="Arial"/>
      <family val="2"/>
    </font>
    <font>
      <sz val="10"/>
      <color rgb="FF000000"/>
      <name val="Arial"/>
      <family val="2"/>
    </font>
    <font>
      <b/>
      <sz val="10"/>
      <color theme="0"/>
      <name val="Arial"/>
      <family val="2"/>
    </font>
    <font>
      <sz val="10"/>
      <color theme="1"/>
      <name val="Script MT Bold"/>
      <family val="4"/>
    </font>
    <font>
      <sz val="14"/>
      <color theme="1"/>
      <name val="Script MT Bold"/>
      <family val="4"/>
    </font>
    <font>
      <i/>
      <sz val="8"/>
      <color theme="1"/>
      <name val="Arial"/>
      <family val="2"/>
    </font>
    <font>
      <i/>
      <sz val="10"/>
      <color theme="1"/>
      <name val="Arial"/>
      <family val="2"/>
    </font>
    <font>
      <i/>
      <u/>
      <sz val="10"/>
      <color theme="1"/>
      <name val="Arial"/>
      <family val="2"/>
    </font>
    <font>
      <sz val="10"/>
      <color rgb="FFFF0000"/>
      <name val="Arial"/>
      <family val="2"/>
    </font>
    <font>
      <sz val="10"/>
      <color theme="4"/>
      <name val="Arial"/>
      <family val="2"/>
    </font>
    <font>
      <sz val="11"/>
      <color theme="1"/>
      <name val="Arial"/>
      <family val="2"/>
      <scheme val="minor"/>
    </font>
    <font>
      <u/>
      <sz val="10"/>
      <color theme="10"/>
      <name val="Arial"/>
      <family val="2"/>
    </font>
    <font>
      <u/>
      <sz val="10"/>
      <color theme="11"/>
      <name val="Arial"/>
      <family val="2"/>
    </font>
    <font>
      <b/>
      <i/>
      <sz val="10"/>
      <color theme="1"/>
      <name val="Arial"/>
      <family val="2"/>
    </font>
    <font>
      <b/>
      <sz val="9"/>
      <color theme="1"/>
      <name val="Arial"/>
      <family val="2"/>
    </font>
    <font>
      <b/>
      <i/>
      <sz val="10"/>
      <color rgb="FFC00000"/>
      <name val="Arial"/>
      <family val="2"/>
    </font>
    <font>
      <sz val="10"/>
      <color rgb="FF006100"/>
      <name val="Arial"/>
      <family val="2"/>
    </font>
    <font>
      <sz val="10"/>
      <color rgb="FF9C6500"/>
      <name val="Arial"/>
      <family val="2"/>
    </font>
    <font>
      <sz val="11"/>
      <color theme="1"/>
      <name val="Arial"/>
      <family val="2"/>
    </font>
    <font>
      <b/>
      <sz val="6"/>
      <name val="Arial"/>
      <family val="2"/>
    </font>
    <font>
      <sz val="8"/>
      <color theme="1"/>
      <name val="Arial Black"/>
      <family val="2"/>
    </font>
    <font>
      <sz val="9"/>
      <color theme="1"/>
      <name val="Arial"/>
      <family val="2"/>
    </font>
    <font>
      <b/>
      <sz val="7"/>
      <name val="Arial"/>
      <family val="2"/>
    </font>
    <font>
      <sz val="7"/>
      <name val="Arial"/>
      <family val="2"/>
    </font>
    <font>
      <b/>
      <i/>
      <sz val="7"/>
      <name val="Arial"/>
      <family val="2"/>
    </font>
    <font>
      <b/>
      <sz val="7"/>
      <color theme="1"/>
      <name val="Arial"/>
      <family val="2"/>
    </font>
    <font>
      <sz val="6"/>
      <name val="Arial"/>
      <family val="2"/>
    </font>
    <font>
      <sz val="5"/>
      <name val="Arial"/>
      <family val="2"/>
    </font>
    <font>
      <b/>
      <sz val="12"/>
      <color theme="0"/>
      <name val="Arial Rounded MT Bold"/>
      <family val="2"/>
    </font>
    <font>
      <b/>
      <i/>
      <sz val="11"/>
      <color theme="1"/>
      <name val="Arial"/>
      <family val="2"/>
    </font>
    <font>
      <b/>
      <sz val="9"/>
      <color indexed="81"/>
      <name val="Tahoma"/>
      <family val="2"/>
    </font>
    <font>
      <sz val="10"/>
      <color theme="1"/>
      <name val="Calibri"/>
      <family val="2"/>
    </font>
    <font>
      <b/>
      <i/>
      <sz val="8"/>
      <name val="Arial"/>
      <family val="2"/>
    </font>
    <font>
      <sz val="12"/>
      <name val="Arial"/>
      <family val="2"/>
    </font>
    <font>
      <u/>
      <sz val="10"/>
      <color theme="1"/>
      <name val="Arial"/>
      <family val="2"/>
    </font>
    <font>
      <b/>
      <i/>
      <u/>
      <sz val="10"/>
      <color theme="1"/>
      <name val="Arial"/>
      <family val="2"/>
    </font>
    <font>
      <i/>
      <sz val="10"/>
      <color theme="1"/>
      <name val="Arial"/>
      <family val="2"/>
      <scheme val="minor"/>
    </font>
    <font>
      <sz val="6"/>
      <color theme="1"/>
      <name val="Arial"/>
      <family val="2"/>
    </font>
    <font>
      <sz val="7"/>
      <color theme="1"/>
      <name val="Arial"/>
      <family val="2"/>
    </font>
    <font>
      <b/>
      <sz val="8"/>
      <color theme="0"/>
      <name val="Arial"/>
      <family val="2"/>
    </font>
    <font>
      <b/>
      <sz val="12"/>
      <color theme="0"/>
      <name val="Arial"/>
      <family val="2"/>
    </font>
  </fonts>
  <fills count="14">
    <fill>
      <patternFill patternType="none"/>
    </fill>
    <fill>
      <patternFill patternType="gray125"/>
    </fill>
    <fill>
      <patternFill patternType="solid">
        <fgColor theme="0" tint="-4.9989318521683403E-2"/>
        <bgColor indexed="64"/>
      </patternFill>
    </fill>
    <fill>
      <patternFill patternType="solid">
        <fgColor rgb="FFD10024"/>
        <bgColor indexed="64"/>
      </patternFill>
    </fill>
    <fill>
      <patternFill patternType="solid">
        <fgColor theme="0"/>
        <bgColor indexed="64"/>
      </patternFill>
    </fill>
    <fill>
      <patternFill patternType="solid">
        <fgColor rgb="FFFFFFFF"/>
        <bgColor rgb="FF000000"/>
      </patternFill>
    </fill>
    <fill>
      <patternFill patternType="solid">
        <fgColor theme="0" tint="-0.14999847407452621"/>
        <bgColor indexed="64"/>
      </patternFill>
    </fill>
    <fill>
      <patternFill patternType="solid">
        <fgColor theme="0" tint="-0.249977111117893"/>
        <bgColor indexed="64"/>
      </patternFill>
    </fill>
    <fill>
      <patternFill patternType="solid">
        <fgColor theme="1"/>
        <bgColor indexed="64"/>
      </patternFill>
    </fill>
    <fill>
      <patternFill patternType="solid">
        <fgColor theme="7"/>
        <bgColor indexed="64"/>
      </patternFill>
    </fill>
    <fill>
      <patternFill patternType="solid">
        <fgColor rgb="FFC6EFCE"/>
      </patternFill>
    </fill>
    <fill>
      <patternFill patternType="solid">
        <fgColor rgb="FFFFEB9C"/>
      </patternFill>
    </fill>
    <fill>
      <patternFill patternType="solid">
        <fgColor theme="7" tint="0.79998168889431442"/>
        <bgColor indexed="64"/>
      </patternFill>
    </fill>
    <fill>
      <patternFill patternType="solid">
        <fgColor rgb="FF92D050"/>
        <bgColor indexed="64"/>
      </patternFill>
    </fill>
  </fills>
  <borders count="45">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top style="medium">
        <color auto="1"/>
      </top>
      <bottom/>
      <diagonal/>
    </border>
    <border>
      <left/>
      <right/>
      <top style="thin">
        <color auto="1"/>
      </top>
      <bottom style="medium">
        <color auto="1"/>
      </bottom>
      <diagonal/>
    </border>
    <border>
      <left/>
      <right style="thin">
        <color auto="1"/>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bottom style="medium">
        <color auto="1"/>
      </bottom>
      <diagonal/>
    </border>
    <border>
      <left style="medium">
        <color auto="1"/>
      </left>
      <right/>
      <top/>
      <bottom style="medium">
        <color auto="1"/>
      </bottom>
      <diagonal/>
    </border>
    <border>
      <left style="medium">
        <color auto="1"/>
      </left>
      <right/>
      <top/>
      <bottom/>
      <diagonal/>
    </border>
    <border>
      <left/>
      <right style="medium">
        <color auto="1"/>
      </right>
      <top/>
      <bottom/>
      <diagonal/>
    </border>
    <border>
      <left/>
      <right style="medium">
        <color auto="1"/>
      </right>
      <top/>
      <bottom style="medium">
        <color auto="1"/>
      </bottom>
      <diagonal/>
    </border>
    <border>
      <left/>
      <right style="thin">
        <color auto="1"/>
      </right>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style="thin">
        <color auto="1"/>
      </bottom>
      <diagonal/>
    </border>
    <border>
      <left/>
      <right/>
      <top style="thin">
        <color auto="1"/>
      </top>
      <bottom/>
      <diagonal/>
    </border>
    <border>
      <left style="thin">
        <color auto="1"/>
      </left>
      <right/>
      <top/>
      <bottom/>
      <diagonal/>
    </border>
    <border>
      <left/>
      <right style="thin">
        <color auto="1"/>
      </right>
      <top/>
      <bottom/>
      <diagonal/>
    </border>
    <border>
      <left/>
      <right/>
      <top style="medium">
        <color auto="1"/>
      </top>
      <bottom style="thin">
        <color theme="0"/>
      </bottom>
      <diagonal/>
    </border>
    <border>
      <left/>
      <right/>
      <top style="medium">
        <color auto="1"/>
      </top>
      <bottom style="thin">
        <color auto="1"/>
      </bottom>
      <diagonal/>
    </border>
    <border>
      <left style="medium">
        <color indexed="64"/>
      </left>
      <right style="medium">
        <color indexed="64"/>
      </right>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right style="thin">
        <color auto="1"/>
      </right>
      <top/>
      <bottom style="medium">
        <color indexed="64"/>
      </bottom>
      <diagonal/>
    </border>
    <border>
      <left/>
      <right style="thin">
        <color auto="1"/>
      </right>
      <top style="thin">
        <color auto="1"/>
      </top>
      <bottom style="thin">
        <color auto="1"/>
      </bottom>
      <diagonal/>
    </border>
    <border>
      <left style="thin">
        <color indexed="64"/>
      </left>
      <right/>
      <top style="thin">
        <color indexed="64"/>
      </top>
      <bottom style="thin">
        <color indexed="64"/>
      </bottom>
      <diagonal/>
    </border>
    <border>
      <left style="thin">
        <color auto="1"/>
      </left>
      <right style="thin">
        <color auto="1"/>
      </right>
      <top/>
      <bottom style="dotted">
        <color theme="1" tint="0.499984740745262"/>
      </bottom>
      <diagonal/>
    </border>
    <border>
      <left/>
      <right style="thin">
        <color auto="1"/>
      </right>
      <top/>
      <bottom style="dotted">
        <color theme="1" tint="0.499984740745262"/>
      </bottom>
      <diagonal/>
    </border>
    <border>
      <left style="thin">
        <color auto="1"/>
      </left>
      <right style="thin">
        <color auto="1"/>
      </right>
      <top style="dotted">
        <color theme="1" tint="0.499984740745262"/>
      </top>
      <bottom style="dotted">
        <color theme="1" tint="0.499984740745262"/>
      </bottom>
      <diagonal/>
    </border>
    <border>
      <left style="thin">
        <color auto="1"/>
      </left>
      <right style="thin">
        <color auto="1"/>
      </right>
      <top style="hair">
        <color auto="1"/>
      </top>
      <bottom style="hair">
        <color auto="1"/>
      </bottom>
      <diagonal/>
    </border>
    <border>
      <left/>
      <right style="thin">
        <color auto="1"/>
      </right>
      <top style="hair">
        <color auto="1"/>
      </top>
      <bottom style="hair">
        <color auto="1"/>
      </bottom>
      <diagonal/>
    </border>
    <border>
      <left style="thin">
        <color auto="1"/>
      </left>
      <right style="thin">
        <color auto="1"/>
      </right>
      <top style="dotted">
        <color theme="1" tint="0.499984740745262"/>
      </top>
      <bottom/>
      <diagonal/>
    </border>
  </borders>
  <cellStyleXfs count="57">
    <xf numFmtId="0" fontId="0" fillId="0" borderId="0"/>
    <xf numFmtId="9" fontId="1" fillId="0" borderId="0" applyFont="0" applyFill="0" applyBorder="0" applyAlignment="0" applyProtection="0"/>
    <xf numFmtId="0" fontId="16" fillId="0" borderId="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22" fillId="10" borderId="0" applyNumberFormat="0" applyBorder="0" applyAlignment="0" applyProtection="0"/>
    <xf numFmtId="0" fontId="23" fillId="11" borderId="0" applyNumberFormat="0" applyBorder="0" applyAlignment="0" applyProtection="0"/>
  </cellStyleXfs>
  <cellXfs count="261">
    <xf numFmtId="0" fontId="0" fillId="0" borderId="0" xfId="0"/>
    <xf numFmtId="0" fontId="2" fillId="0" borderId="0" xfId="0" applyFont="1" applyAlignment="1" applyProtection="1">
      <alignment vertical="center"/>
    </xf>
    <xf numFmtId="0" fontId="0" fillId="0" borderId="0" xfId="0" applyAlignment="1" applyProtection="1">
      <alignment vertical="center"/>
    </xf>
    <xf numFmtId="0" fontId="6" fillId="0" borderId="0" xfId="0" applyFont="1" applyAlignment="1" applyProtection="1">
      <alignment vertical="center"/>
    </xf>
    <xf numFmtId="0" fontId="6" fillId="0" borderId="0" xfId="0" applyFont="1" applyBorder="1" applyAlignment="1" applyProtection="1">
      <alignment vertical="center"/>
    </xf>
    <xf numFmtId="0" fontId="0" fillId="0" borderId="0" xfId="0" applyProtection="1">
      <protection locked="0"/>
    </xf>
    <xf numFmtId="0" fontId="5" fillId="4" borderId="0" xfId="0" applyFont="1" applyFill="1" applyBorder="1" applyAlignment="1" applyProtection="1">
      <alignment horizontal="center" vertical="center"/>
    </xf>
    <xf numFmtId="0" fontId="6" fillId="0" borderId="0" xfId="0" applyFont="1" applyBorder="1" applyAlignment="1" applyProtection="1">
      <alignment horizontal="left" indent="2"/>
    </xf>
    <xf numFmtId="0" fontId="6" fillId="0" borderId="9" xfId="0" applyFont="1" applyBorder="1" applyAlignment="1" applyProtection="1">
      <alignment vertical="center"/>
    </xf>
    <xf numFmtId="0" fontId="6" fillId="0" borderId="0" xfId="0" applyFont="1" applyFill="1" applyBorder="1" applyAlignment="1" applyProtection="1">
      <alignment vertical="center"/>
    </xf>
    <xf numFmtId="0" fontId="8" fillId="3" borderId="9" xfId="0" applyFont="1" applyFill="1" applyBorder="1" applyAlignment="1" applyProtection="1">
      <alignment horizontal="center" vertical="top" wrapText="1"/>
    </xf>
    <xf numFmtId="0" fontId="6" fillId="0" borderId="0" xfId="0" applyFont="1" applyFill="1" applyAlignment="1" applyProtection="1">
      <alignment vertical="center"/>
    </xf>
    <xf numFmtId="0" fontId="0" fillId="0" borderId="24" xfId="0" applyFont="1" applyBorder="1" applyAlignment="1" applyProtection="1">
      <alignment horizontal="left" vertical="center" indent="1"/>
    </xf>
    <xf numFmtId="0" fontId="0" fillId="0" borderId="15" xfId="0" applyFont="1" applyBorder="1" applyAlignment="1" applyProtection="1">
      <alignment horizontal="left" vertical="center" indent="1"/>
    </xf>
    <xf numFmtId="0" fontId="0" fillId="0" borderId="4" xfId="0" applyFont="1" applyBorder="1" applyAlignment="1" applyProtection="1">
      <alignment horizontal="left" vertical="center" indent="1"/>
    </xf>
    <xf numFmtId="1" fontId="0" fillId="0" borderId="24" xfId="0" applyNumberFormat="1" applyFont="1" applyFill="1" applyBorder="1" applyAlignment="1" applyProtection="1">
      <alignment horizontal="right" vertical="center" indent="1"/>
    </xf>
    <xf numFmtId="1" fontId="0" fillId="0" borderId="15" xfId="0" applyNumberFormat="1" applyFont="1" applyFill="1" applyBorder="1" applyAlignment="1" applyProtection="1">
      <alignment horizontal="right" vertical="center" indent="1"/>
    </xf>
    <xf numFmtId="1" fontId="0" fillId="0" borderId="4" xfId="0" applyNumberFormat="1" applyFont="1" applyFill="1" applyBorder="1" applyAlignment="1" applyProtection="1">
      <alignment horizontal="right" vertical="center" indent="1"/>
    </xf>
    <xf numFmtId="167" fontId="0" fillId="2" borderId="24" xfId="0" applyNumberFormat="1" applyFont="1" applyFill="1" applyBorder="1" applyAlignment="1" applyProtection="1">
      <alignment vertical="center"/>
    </xf>
    <xf numFmtId="167" fontId="0" fillId="2" borderId="15" xfId="0" applyNumberFormat="1" applyFont="1" applyFill="1" applyBorder="1" applyAlignment="1" applyProtection="1">
      <alignment vertical="center"/>
    </xf>
    <xf numFmtId="170" fontId="0" fillId="2" borderId="15" xfId="0" applyNumberFormat="1" applyFont="1" applyFill="1" applyBorder="1" applyAlignment="1" applyProtection="1">
      <alignment vertical="center"/>
    </xf>
    <xf numFmtId="169" fontId="0" fillId="2" borderId="15" xfId="0" applyNumberFormat="1" applyFont="1" applyFill="1" applyBorder="1" applyAlignment="1" applyProtection="1">
      <alignment vertical="center"/>
    </xf>
    <xf numFmtId="169" fontId="0" fillId="2" borderId="4" xfId="0" applyNumberFormat="1" applyFont="1" applyFill="1" applyBorder="1" applyAlignment="1" applyProtection="1">
      <alignment vertical="center"/>
    </xf>
    <xf numFmtId="0" fontId="2" fillId="4" borderId="24" xfId="0" applyFont="1" applyFill="1" applyBorder="1" applyAlignment="1" applyProtection="1">
      <alignment vertical="center"/>
    </xf>
    <xf numFmtId="0" fontId="2" fillId="4" borderId="15" xfId="0" applyFont="1" applyFill="1" applyBorder="1" applyAlignment="1" applyProtection="1">
      <alignment vertical="center"/>
    </xf>
    <xf numFmtId="0" fontId="2" fillId="4" borderId="4" xfId="0" applyFont="1" applyFill="1" applyBorder="1" applyAlignment="1" applyProtection="1">
      <alignment vertical="center"/>
    </xf>
    <xf numFmtId="0" fontId="4" fillId="4" borderId="24" xfId="0" applyFont="1" applyFill="1" applyBorder="1" applyAlignment="1" applyProtection="1">
      <alignment horizontal="left" vertical="center" indent="1"/>
    </xf>
    <xf numFmtId="0" fontId="4" fillId="4" borderId="15" xfId="0" applyFont="1" applyFill="1" applyBorder="1" applyAlignment="1" applyProtection="1">
      <alignment horizontal="left" vertical="center" indent="1"/>
    </xf>
    <xf numFmtId="0" fontId="4" fillId="4" borderId="4" xfId="0" applyFont="1" applyFill="1" applyBorder="1" applyAlignment="1" applyProtection="1">
      <alignment horizontal="left" vertical="center" indent="1"/>
    </xf>
    <xf numFmtId="0" fontId="6" fillId="0" borderId="0" xfId="0" applyNumberFormat="1" applyFont="1" applyBorder="1" applyAlignment="1" applyProtection="1">
      <alignment horizontal="right" vertical="center"/>
    </xf>
    <xf numFmtId="0" fontId="6" fillId="0" borderId="0" xfId="0" applyFont="1" applyBorder="1" applyAlignment="1" applyProtection="1">
      <alignment horizontal="right" vertical="center" indent="2"/>
    </xf>
    <xf numFmtId="0" fontId="2" fillId="4" borderId="15" xfId="0" applyFont="1" applyFill="1" applyBorder="1" applyAlignment="1" applyProtection="1">
      <alignment vertical="center"/>
      <protection locked="0"/>
    </xf>
    <xf numFmtId="0" fontId="5" fillId="0" borderId="0" xfId="0" applyFont="1" applyProtection="1">
      <protection locked="0"/>
    </xf>
    <xf numFmtId="0" fontId="0" fillId="0" borderId="0" xfId="0" applyAlignment="1" applyProtection="1">
      <alignment horizontal="center" vertical="center"/>
    </xf>
    <xf numFmtId="0" fontId="0" fillId="0" borderId="11" xfId="0" applyBorder="1" applyAlignment="1" applyProtection="1">
      <alignment vertical="center"/>
    </xf>
    <xf numFmtId="0" fontId="0" fillId="0" borderId="0" xfId="0" applyBorder="1" applyAlignment="1" applyProtection="1">
      <alignment vertical="center"/>
    </xf>
    <xf numFmtId="0" fontId="0" fillId="0" borderId="12" xfId="0" applyBorder="1" applyAlignment="1" applyProtection="1">
      <alignment vertical="center"/>
    </xf>
    <xf numFmtId="0" fontId="0" fillId="0" borderId="0" xfId="0" applyBorder="1" applyAlignment="1" applyProtection="1">
      <alignment horizontal="center" vertical="center"/>
    </xf>
    <xf numFmtId="0" fontId="0" fillId="0" borderId="12" xfId="0" applyBorder="1" applyAlignment="1" applyProtection="1">
      <alignment horizontal="center" vertical="center"/>
    </xf>
    <xf numFmtId="0" fontId="0" fillId="0" borderId="0" xfId="0" applyFill="1" applyBorder="1" applyAlignment="1" applyProtection="1">
      <alignment vertical="center"/>
    </xf>
    <xf numFmtId="0" fontId="0" fillId="0" borderId="18" xfId="0" applyBorder="1" applyAlignment="1" applyProtection="1">
      <alignment vertical="center"/>
    </xf>
    <xf numFmtId="0" fontId="0" fillId="0" borderId="20" xfId="0" applyBorder="1" applyAlignment="1" applyProtection="1">
      <alignment vertical="center"/>
    </xf>
    <xf numFmtId="0" fontId="0" fillId="0" borderId="5" xfId="0" applyBorder="1" applyAlignment="1" applyProtection="1">
      <alignment vertical="center"/>
    </xf>
    <xf numFmtId="0" fontId="0" fillId="0" borderId="21" xfId="0" applyBorder="1" applyAlignment="1" applyProtection="1">
      <alignment vertical="center"/>
    </xf>
    <xf numFmtId="0" fontId="0" fillId="0" borderId="22" xfId="0" applyBorder="1" applyAlignment="1" applyProtection="1">
      <alignment vertical="center"/>
    </xf>
    <xf numFmtId="0" fontId="0" fillId="0" borderId="10" xfId="0" applyBorder="1" applyAlignment="1" applyProtection="1">
      <alignment vertical="center"/>
    </xf>
    <xf numFmtId="0" fontId="0" fillId="0" borderId="9" xfId="0" applyBorder="1" applyAlignment="1" applyProtection="1">
      <alignment vertical="center"/>
    </xf>
    <xf numFmtId="0" fontId="0" fillId="0" borderId="9" xfId="0" applyBorder="1" applyAlignment="1" applyProtection="1">
      <alignment horizontal="center" vertical="center"/>
    </xf>
    <xf numFmtId="0" fontId="0" fillId="0" borderId="13" xfId="0" applyBorder="1" applyAlignment="1" applyProtection="1">
      <alignment vertical="center"/>
    </xf>
    <xf numFmtId="0" fontId="0" fillId="0" borderId="0" xfId="0" applyAlignment="1" applyProtection="1">
      <alignment horizontal="left" vertical="center"/>
    </xf>
    <xf numFmtId="0" fontId="0" fillId="0" borderId="16" xfId="0" applyBorder="1" applyAlignment="1" applyProtection="1">
      <alignment vertical="center"/>
    </xf>
    <xf numFmtId="0" fontId="19" fillId="0" borderId="26" xfId="0" applyFont="1" applyBorder="1" applyAlignment="1" applyProtection="1">
      <alignment horizontal="center" vertical="center"/>
    </xf>
    <xf numFmtId="0" fontId="19" fillId="0" borderId="27" xfId="0" applyFont="1" applyBorder="1" applyAlignment="1" applyProtection="1">
      <alignment horizontal="center" vertical="center"/>
    </xf>
    <xf numFmtId="0" fontId="19" fillId="0" borderId="28" xfId="0" applyFont="1" applyBorder="1" applyAlignment="1" applyProtection="1">
      <alignment horizontal="center" vertical="center"/>
    </xf>
    <xf numFmtId="171" fontId="0" fillId="0" borderId="0" xfId="0" applyNumberFormat="1" applyBorder="1" applyAlignment="1" applyProtection="1">
      <alignment vertical="center"/>
    </xf>
    <xf numFmtId="0" fontId="19" fillId="0" borderId="31" xfId="0" applyFont="1" applyBorder="1" applyAlignment="1" applyProtection="1">
      <alignment horizontal="center" vertical="center"/>
    </xf>
    <xf numFmtId="0" fontId="19" fillId="0" borderId="32" xfId="0" applyFont="1" applyBorder="1" applyAlignment="1" applyProtection="1">
      <alignment horizontal="center" vertical="center"/>
    </xf>
    <xf numFmtId="0" fontId="19" fillId="0" borderId="33" xfId="0" applyFont="1" applyBorder="1" applyAlignment="1" applyProtection="1">
      <alignment horizontal="center" vertical="center"/>
    </xf>
    <xf numFmtId="171" fontId="0" fillId="0" borderId="9" xfId="0" applyNumberFormat="1" applyBorder="1" applyAlignment="1" applyProtection="1">
      <alignment vertical="center"/>
    </xf>
    <xf numFmtId="0" fontId="0" fillId="0" borderId="34" xfId="0" applyBorder="1" applyAlignment="1" applyProtection="1">
      <alignment vertical="center"/>
    </xf>
    <xf numFmtId="175" fontId="0" fillId="0" borderId="17" xfId="0" applyNumberFormat="1" applyBorder="1" applyAlignment="1" applyProtection="1">
      <alignment vertical="center"/>
    </xf>
    <xf numFmtId="1" fontId="0" fillId="0" borderId="17" xfId="0" applyNumberFormat="1" applyBorder="1" applyAlignment="1" applyProtection="1">
      <alignment vertical="center"/>
    </xf>
    <xf numFmtId="1" fontId="0" fillId="0" borderId="35" xfId="0" applyNumberFormat="1" applyBorder="1" applyAlignment="1" applyProtection="1">
      <alignment vertical="center"/>
    </xf>
    <xf numFmtId="0" fontId="0" fillId="0" borderId="29" xfId="0" applyBorder="1" applyAlignment="1" applyProtection="1">
      <alignment vertical="center"/>
    </xf>
    <xf numFmtId="175" fontId="0" fillId="0" borderId="1" xfId="0" applyNumberFormat="1" applyBorder="1" applyAlignment="1" applyProtection="1">
      <alignment vertical="center"/>
    </xf>
    <xf numFmtId="1" fontId="0" fillId="0" borderId="1" xfId="0" applyNumberFormat="1" applyBorder="1" applyAlignment="1" applyProtection="1">
      <alignment vertical="center"/>
    </xf>
    <xf numFmtId="1" fontId="0" fillId="0" borderId="30" xfId="0" applyNumberFormat="1" applyBorder="1" applyAlignment="1" applyProtection="1">
      <alignment vertical="center"/>
    </xf>
    <xf numFmtId="0" fontId="13" fillId="0" borderId="0" xfId="0" applyFont="1" applyBorder="1" applyAlignment="1" applyProtection="1">
      <alignment vertical="center"/>
    </xf>
    <xf numFmtId="0" fontId="12" fillId="0" borderId="0" xfId="0" applyFont="1" applyBorder="1" applyAlignment="1" applyProtection="1">
      <alignment horizontal="center" vertical="center"/>
    </xf>
    <xf numFmtId="0" fontId="0" fillId="0" borderId="31" xfId="0" applyBorder="1" applyAlignment="1" applyProtection="1">
      <alignment vertical="center"/>
    </xf>
    <xf numFmtId="175" fontId="0" fillId="0" borderId="32" xfId="0" applyNumberFormat="1" applyBorder="1" applyAlignment="1" applyProtection="1">
      <alignment vertical="center"/>
    </xf>
    <xf numFmtId="1" fontId="0" fillId="0" borderId="32" xfId="0" applyNumberFormat="1" applyBorder="1" applyAlignment="1" applyProtection="1">
      <alignment vertical="center"/>
    </xf>
    <xf numFmtId="1" fontId="0" fillId="0" borderId="33" xfId="0" applyNumberFormat="1" applyBorder="1" applyAlignment="1" applyProtection="1">
      <alignment vertical="center"/>
    </xf>
    <xf numFmtId="1" fontId="0" fillId="0" borderId="25" xfId="0" applyNumberFormat="1" applyBorder="1" applyAlignment="1" applyProtection="1">
      <alignment vertical="center"/>
    </xf>
    <xf numFmtId="168" fontId="0" fillId="0" borderId="0" xfId="0" applyNumberFormat="1" applyBorder="1" applyAlignment="1" applyProtection="1">
      <alignment vertical="center"/>
    </xf>
    <xf numFmtId="9" fontId="0" fillId="0" borderId="0" xfId="1" applyFont="1" applyBorder="1" applyAlignment="1" applyProtection="1">
      <alignment vertical="center"/>
    </xf>
    <xf numFmtId="0" fontId="0" fillId="0" borderId="9" xfId="0" applyFill="1" applyBorder="1" applyAlignment="1" applyProtection="1">
      <alignment vertical="center"/>
    </xf>
    <xf numFmtId="0" fontId="0" fillId="0" borderId="19" xfId="0" applyBorder="1" applyAlignment="1" applyProtection="1">
      <alignment vertical="center"/>
    </xf>
    <xf numFmtId="0" fontId="0" fillId="0" borderId="2" xfId="0" applyBorder="1" applyAlignment="1" applyProtection="1">
      <alignment vertical="center"/>
    </xf>
    <xf numFmtId="0" fontId="0" fillId="0" borderId="14" xfId="0" applyBorder="1" applyAlignment="1" applyProtection="1">
      <alignment vertical="center"/>
    </xf>
    <xf numFmtId="0" fontId="0" fillId="0" borderId="0" xfId="0" applyBorder="1" applyAlignment="1" applyProtection="1"/>
    <xf numFmtId="0" fontId="9" fillId="0" borderId="0" xfId="0" applyFont="1" applyBorder="1" applyAlignment="1" applyProtection="1">
      <alignment horizontal="right" vertical="center"/>
    </xf>
    <xf numFmtId="0" fontId="9" fillId="0" borderId="0" xfId="0" applyFont="1" applyBorder="1" applyAlignment="1" applyProtection="1">
      <alignment horizontal="left" vertical="center"/>
    </xf>
    <xf numFmtId="0" fontId="9" fillId="0" borderId="0" xfId="0" applyFont="1" applyBorder="1" applyAlignment="1" applyProtection="1">
      <alignment horizontal="left" vertical="top"/>
    </xf>
    <xf numFmtId="0" fontId="0" fillId="0" borderId="0" xfId="0" applyBorder="1" applyAlignment="1" applyProtection="1">
      <alignment horizontal="center" vertical="center" wrapText="1"/>
    </xf>
    <xf numFmtId="0" fontId="0" fillId="0" borderId="0" xfId="0" applyBorder="1" applyAlignment="1" applyProtection="1">
      <alignment horizontal="right" vertical="center" wrapText="1"/>
    </xf>
    <xf numFmtId="2" fontId="0" fillId="0" borderId="0" xfId="0" applyNumberFormat="1" applyBorder="1" applyAlignment="1" applyProtection="1">
      <alignment vertical="center"/>
    </xf>
    <xf numFmtId="168" fontId="0" fillId="9" borderId="0" xfId="0" applyNumberFormat="1" applyFill="1" applyBorder="1" applyAlignment="1" applyProtection="1">
      <alignment vertical="center"/>
    </xf>
    <xf numFmtId="168" fontId="14" fillId="6" borderId="0" xfId="0" applyNumberFormat="1" applyFont="1" applyFill="1" applyBorder="1" applyAlignment="1" applyProtection="1">
      <alignment vertical="center"/>
    </xf>
    <xf numFmtId="9" fontId="15" fillId="6" borderId="0" xfId="1" applyFont="1" applyFill="1" applyBorder="1" applyAlignment="1" applyProtection="1">
      <alignment vertical="center"/>
    </xf>
    <xf numFmtId="0" fontId="7" fillId="0" borderId="0" xfId="0" applyFont="1" applyAlignment="1" applyProtection="1"/>
    <xf numFmtId="0" fontId="2" fillId="0" borderId="0" xfId="0" applyFont="1" applyAlignment="1" applyProtection="1">
      <alignment horizontal="center" vertical="center"/>
    </xf>
    <xf numFmtId="1" fontId="0" fillId="0" borderId="0" xfId="0" applyNumberFormat="1" applyAlignment="1" applyProtection="1">
      <alignment vertical="center"/>
    </xf>
    <xf numFmtId="0" fontId="0" fillId="0" borderId="26" xfId="0" applyBorder="1" applyAlignment="1" applyProtection="1">
      <alignment vertical="center"/>
    </xf>
    <xf numFmtId="174" fontId="23" fillId="11" borderId="0" xfId="56" applyNumberFormat="1" applyAlignment="1" applyProtection="1">
      <alignment vertical="center"/>
      <protection locked="0"/>
    </xf>
    <xf numFmtId="0" fontId="0" fillId="0" borderId="27" xfId="0" applyBorder="1" applyAlignment="1" applyProtection="1">
      <alignment vertical="center"/>
      <protection locked="0"/>
    </xf>
    <xf numFmtId="0" fontId="0" fillId="0" borderId="28" xfId="0" applyBorder="1" applyAlignment="1" applyProtection="1">
      <alignment vertical="center"/>
      <protection locked="0"/>
    </xf>
    <xf numFmtId="0" fontId="0" fillId="0" borderId="1" xfId="0" applyBorder="1" applyAlignment="1" applyProtection="1">
      <alignment vertical="center"/>
      <protection locked="0"/>
    </xf>
    <xf numFmtId="0" fontId="0" fillId="0" borderId="30" xfId="0" applyBorder="1" applyAlignment="1" applyProtection="1">
      <alignment vertical="center"/>
      <protection locked="0"/>
    </xf>
    <xf numFmtId="0" fontId="0" fillId="0" borderId="32" xfId="0" applyBorder="1" applyAlignment="1" applyProtection="1">
      <alignment vertical="center"/>
      <protection locked="0"/>
    </xf>
    <xf numFmtId="0" fontId="0" fillId="0" borderId="33" xfId="0" applyBorder="1" applyAlignment="1" applyProtection="1">
      <alignment vertical="center"/>
      <protection locked="0"/>
    </xf>
    <xf numFmtId="0" fontId="0" fillId="0" borderId="0" xfId="0" applyProtection="1"/>
    <xf numFmtId="0" fontId="0" fillId="0" borderId="0" xfId="0" applyAlignment="1" applyProtection="1"/>
    <xf numFmtId="0" fontId="31" fillId="0" borderId="0" xfId="0" applyFont="1" applyBorder="1" applyAlignment="1" applyProtection="1">
      <alignment horizontal="center" vertical="center" wrapText="1"/>
    </xf>
    <xf numFmtId="0" fontId="24" fillId="0" borderId="0" xfId="0" applyFont="1" applyBorder="1" applyAlignment="1" applyProtection="1">
      <alignment horizontal="left" vertical="center" wrapText="1" indent="1"/>
    </xf>
    <xf numFmtId="0" fontId="26" fillId="0" borderId="20" xfId="0" applyFont="1" applyBorder="1" applyAlignment="1" applyProtection="1"/>
    <xf numFmtId="0" fontId="2" fillId="0" borderId="20" xfId="0" applyFont="1" applyBorder="1" applyAlignment="1" applyProtection="1"/>
    <xf numFmtId="0" fontId="26" fillId="0" borderId="20" xfId="0" applyFont="1" applyBorder="1" applyAlignment="1" applyProtection="1">
      <alignment horizontal="left"/>
    </xf>
    <xf numFmtId="0" fontId="26" fillId="0" borderId="3" xfId="0" applyFont="1" applyBorder="1" applyAlignment="1" applyProtection="1"/>
    <xf numFmtId="1" fontId="0" fillId="0" borderId="0" xfId="0" applyNumberFormat="1" applyFont="1" applyFill="1" applyBorder="1" applyAlignment="1" applyProtection="1">
      <alignment horizontal="left" vertical="center" wrapText="1" indent="1"/>
    </xf>
    <xf numFmtId="176" fontId="2" fillId="0" borderId="0" xfId="0" applyNumberFormat="1" applyFont="1" applyBorder="1" applyAlignment="1" applyProtection="1">
      <alignment horizontal="center" vertical="center"/>
    </xf>
    <xf numFmtId="15" fontId="1" fillId="0" borderId="9" xfId="0" applyNumberFormat="1" applyFont="1" applyBorder="1" applyAlignment="1" applyProtection="1">
      <alignment vertical="center"/>
    </xf>
    <xf numFmtId="0" fontId="2" fillId="0" borderId="0" xfId="0" applyFont="1" applyBorder="1" applyAlignment="1" applyProtection="1"/>
    <xf numFmtId="0" fontId="2" fillId="4" borderId="0" xfId="0" applyFont="1" applyFill="1" applyProtection="1"/>
    <xf numFmtId="0" fontId="38" fillId="5" borderId="0" xfId="0" applyFont="1" applyFill="1" applyAlignment="1" applyProtection="1">
      <alignment horizontal="right"/>
    </xf>
    <xf numFmtId="0" fontId="0" fillId="0" borderId="0" xfId="0" applyFont="1" applyFill="1" applyBorder="1" applyAlignment="1" applyProtection="1">
      <alignment vertical="top"/>
    </xf>
    <xf numFmtId="0" fontId="4" fillId="0" borderId="0" xfId="0" applyFont="1" applyBorder="1" applyAlignment="1" applyProtection="1">
      <alignment vertical="top"/>
    </xf>
    <xf numFmtId="0" fontId="4" fillId="0" borderId="0" xfId="0" applyFont="1" applyBorder="1" applyAlignment="1" applyProtection="1">
      <alignment horizontal="right" vertical="top"/>
    </xf>
    <xf numFmtId="0" fontId="4" fillId="0" borderId="0" xfId="0" applyFont="1" applyBorder="1" applyAlignment="1" applyProtection="1">
      <alignment horizontal="left" vertical="center" indent="1"/>
    </xf>
    <xf numFmtId="0" fontId="0" fillId="0" borderId="0" xfId="0" applyFont="1" applyFill="1" applyBorder="1" applyAlignment="1" applyProtection="1">
      <alignment vertical="center"/>
    </xf>
    <xf numFmtId="0" fontId="0" fillId="0" borderId="0" xfId="0" applyFont="1" applyBorder="1" applyAlignment="1" applyProtection="1">
      <alignment vertical="center"/>
    </xf>
    <xf numFmtId="0" fontId="0" fillId="0" borderId="0" xfId="0" applyFont="1" applyFill="1" applyAlignment="1" applyProtection="1">
      <alignment vertical="center"/>
    </xf>
    <xf numFmtId="0" fontId="0" fillId="0" borderId="4" xfId="0" applyFont="1" applyBorder="1" applyAlignment="1" applyProtection="1">
      <alignment vertical="center"/>
    </xf>
    <xf numFmtId="0" fontId="0" fillId="0" borderId="0" xfId="0" applyFont="1" applyAlignment="1" applyProtection="1">
      <alignment vertical="center"/>
    </xf>
    <xf numFmtId="0" fontId="0" fillId="0" borderId="0" xfId="0" applyNumberFormat="1" applyFont="1" applyBorder="1" applyAlignment="1" applyProtection="1">
      <alignment horizontal="right" vertical="center"/>
    </xf>
    <xf numFmtId="0" fontId="0" fillId="0" borderId="0" xfId="0" applyFont="1" applyBorder="1" applyAlignment="1" applyProtection="1">
      <alignment horizontal="left" vertical="center" indent="2"/>
    </xf>
    <xf numFmtId="0" fontId="0" fillId="0" borderId="0" xfId="0" applyFont="1" applyBorder="1" applyAlignment="1" applyProtection="1">
      <alignment horizontal="right" vertical="center" indent="1"/>
    </xf>
    <xf numFmtId="0" fontId="40" fillId="0" borderId="0" xfId="0" applyFont="1" applyBorder="1" applyAlignment="1" applyProtection="1">
      <alignment horizontal="left" vertical="center"/>
    </xf>
    <xf numFmtId="0" fontId="0" fillId="0" borderId="0" xfId="0" applyFont="1" applyFill="1" applyBorder="1" applyAlignment="1" applyProtection="1">
      <alignment vertical="top" wrapText="1"/>
    </xf>
    <xf numFmtId="0" fontId="40" fillId="0" borderId="0" xfId="0" applyNumberFormat="1" applyFont="1" applyBorder="1" applyAlignment="1" applyProtection="1">
      <alignment horizontal="left" vertical="center"/>
    </xf>
    <xf numFmtId="0" fontId="41" fillId="0" borderId="0" xfId="0" applyFont="1" applyBorder="1" applyAlignment="1" applyProtection="1">
      <alignment horizontal="left" vertical="center" indent="1"/>
    </xf>
    <xf numFmtId="0" fontId="0" fillId="0" borderId="0" xfId="0" applyFont="1" applyBorder="1" applyAlignment="1" applyProtection="1">
      <alignment horizontal="left" vertical="top" wrapText="1"/>
    </xf>
    <xf numFmtId="0" fontId="37" fillId="0" borderId="0" xfId="0" applyFont="1" applyBorder="1" applyAlignment="1" applyProtection="1">
      <alignment horizontal="left" vertical="top" wrapText="1"/>
    </xf>
    <xf numFmtId="0" fontId="31" fillId="0" borderId="0" xfId="0" applyFont="1" applyBorder="1" applyAlignment="1" applyProtection="1">
      <alignment horizontal="center" vertical="center"/>
    </xf>
    <xf numFmtId="0" fontId="28" fillId="6" borderId="1" xfId="0" applyFont="1" applyFill="1" applyBorder="1" applyAlignment="1" applyProtection="1">
      <alignment horizontal="center" vertical="center" wrapText="1"/>
    </xf>
    <xf numFmtId="167" fontId="0" fillId="4" borderId="24" xfId="0" applyNumberFormat="1" applyFont="1" applyFill="1" applyBorder="1" applyAlignment="1" applyProtection="1">
      <alignment horizontal="right" vertical="center" indent="1"/>
    </xf>
    <xf numFmtId="167" fontId="0" fillId="4" borderId="15" xfId="0" applyNumberFormat="1" applyFont="1" applyFill="1" applyBorder="1" applyAlignment="1" applyProtection="1">
      <alignment horizontal="right" vertical="center" indent="1"/>
    </xf>
    <xf numFmtId="170" fontId="0" fillId="4" borderId="15" xfId="0" applyNumberFormat="1" applyFont="1" applyFill="1" applyBorder="1" applyAlignment="1" applyProtection="1">
      <alignment horizontal="right" vertical="center" indent="1"/>
    </xf>
    <xf numFmtId="169" fontId="0" fillId="4" borderId="15" xfId="0" applyNumberFormat="1" applyFont="1" applyFill="1" applyBorder="1" applyAlignment="1" applyProtection="1">
      <alignment horizontal="right" vertical="center" indent="1"/>
    </xf>
    <xf numFmtId="169" fontId="0" fillId="4" borderId="4" xfId="0" applyNumberFormat="1" applyFont="1" applyFill="1" applyBorder="1" applyAlignment="1" applyProtection="1">
      <alignment horizontal="right" vertical="center" indent="1"/>
    </xf>
    <xf numFmtId="168" fontId="44" fillId="0" borderId="0" xfId="0" applyNumberFormat="1" applyFont="1" applyBorder="1" applyAlignment="1" applyProtection="1">
      <alignment vertical="center"/>
    </xf>
    <xf numFmtId="0" fontId="43" fillId="0" borderId="0" xfId="0" applyFont="1" applyAlignment="1" applyProtection="1">
      <alignment horizontal="left" vertical="top" wrapText="1"/>
    </xf>
    <xf numFmtId="0" fontId="32" fillId="0" borderId="0" xfId="0" applyFont="1" applyFill="1" applyBorder="1" applyAlignment="1" applyProtection="1">
      <alignment horizontal="left" vertical="top" wrapText="1"/>
    </xf>
    <xf numFmtId="0" fontId="43" fillId="0" borderId="0" xfId="0" applyFont="1" applyBorder="1" applyAlignment="1" applyProtection="1">
      <alignment horizontal="left" vertical="top" wrapText="1"/>
    </xf>
    <xf numFmtId="0" fontId="43" fillId="0" borderId="0" xfId="0" applyFont="1" applyAlignment="1" applyProtection="1">
      <alignment horizontal="left" vertical="top" wrapText="1"/>
      <protection locked="0"/>
    </xf>
    <xf numFmtId="0" fontId="43" fillId="0" borderId="0" xfId="0" applyFont="1" applyAlignment="1" applyProtection="1">
      <alignment horizontal="center" vertical="top" wrapText="1"/>
      <protection locked="0"/>
    </xf>
    <xf numFmtId="0" fontId="43" fillId="0" borderId="0" xfId="0" applyFont="1" applyAlignment="1" applyProtection="1">
      <alignment wrapText="1"/>
      <protection locked="0"/>
    </xf>
    <xf numFmtId="0" fontId="43" fillId="0" borderId="0" xfId="0" applyFont="1" applyBorder="1" applyAlignment="1" applyProtection="1">
      <alignment horizontal="left" vertical="top" wrapText="1"/>
      <protection locked="0"/>
    </xf>
    <xf numFmtId="0" fontId="39" fillId="5" borderId="0" xfId="0" applyFont="1" applyFill="1" applyBorder="1" applyAlignment="1" applyProtection="1"/>
    <xf numFmtId="0" fontId="32" fillId="0" borderId="39" xfId="0" applyFont="1" applyFill="1" applyBorder="1" applyAlignment="1" applyProtection="1">
      <alignment horizontal="left" vertical="top" wrapText="1"/>
      <protection locked="0"/>
    </xf>
    <xf numFmtId="165" fontId="32" fillId="0" borderId="39" xfId="0" applyNumberFormat="1" applyFont="1" applyFill="1" applyBorder="1" applyAlignment="1" applyProtection="1">
      <alignment horizontal="left" vertical="top" wrapText="1"/>
      <protection locked="0"/>
    </xf>
    <xf numFmtId="164" fontId="32" fillId="0" borderId="39" xfId="0" applyNumberFormat="1" applyFont="1" applyFill="1" applyBorder="1" applyAlignment="1" applyProtection="1">
      <alignment horizontal="left" vertical="top" wrapText="1"/>
      <protection locked="0"/>
    </xf>
    <xf numFmtId="1" fontId="32" fillId="0" borderId="39" xfId="0" applyNumberFormat="1" applyFont="1" applyFill="1" applyBorder="1" applyAlignment="1" applyProtection="1">
      <alignment horizontal="left" vertical="top" wrapText="1"/>
      <protection locked="0"/>
    </xf>
    <xf numFmtId="9" fontId="32" fillId="0" borderId="39" xfId="1" applyFont="1" applyFill="1" applyBorder="1" applyAlignment="1" applyProtection="1">
      <alignment horizontal="left" vertical="top" wrapText="1"/>
      <protection locked="0"/>
    </xf>
    <xf numFmtId="164" fontId="32" fillId="0" borderId="40" xfId="0" applyNumberFormat="1" applyFont="1" applyFill="1" applyBorder="1" applyAlignment="1" applyProtection="1">
      <alignment horizontal="left" vertical="top" wrapText="1"/>
      <protection locked="0"/>
    </xf>
    <xf numFmtId="0" fontId="32" fillId="0" borderId="41" xfId="0" applyFont="1" applyFill="1" applyBorder="1" applyAlignment="1" applyProtection="1">
      <alignment horizontal="left" vertical="top" wrapText="1"/>
      <protection locked="0"/>
    </xf>
    <xf numFmtId="0" fontId="0" fillId="0" borderId="0" xfId="0" applyAlignment="1" applyProtection="1">
      <alignment horizontal="right"/>
    </xf>
    <xf numFmtId="164" fontId="32" fillId="0" borderId="39" xfId="0" applyNumberFormat="1" applyFont="1" applyFill="1" applyBorder="1" applyAlignment="1" applyProtection="1">
      <alignment horizontal="right" vertical="top" wrapText="1"/>
      <protection locked="0"/>
    </xf>
    <xf numFmtId="166" fontId="32" fillId="12" borderId="39" xfId="0" applyNumberFormat="1" applyFont="1" applyFill="1" applyBorder="1" applyAlignment="1" applyProtection="1">
      <alignment horizontal="right" vertical="top" wrapText="1"/>
    </xf>
    <xf numFmtId="167" fontId="32" fillId="12" borderId="39" xfId="0" applyNumberFormat="1" applyFont="1" applyFill="1" applyBorder="1" applyAlignment="1" applyProtection="1">
      <alignment horizontal="right" vertical="top" wrapText="1"/>
    </xf>
    <xf numFmtId="164" fontId="32" fillId="0" borderId="41" xfId="0" applyNumberFormat="1" applyFont="1" applyFill="1" applyBorder="1" applyAlignment="1" applyProtection="1">
      <alignment horizontal="right" vertical="top" wrapText="1"/>
      <protection locked="0"/>
    </xf>
    <xf numFmtId="166" fontId="32" fillId="12" borderId="41" xfId="0" applyNumberFormat="1" applyFont="1" applyFill="1" applyBorder="1" applyAlignment="1" applyProtection="1">
      <alignment horizontal="right" vertical="top" wrapText="1"/>
    </xf>
    <xf numFmtId="167" fontId="32" fillId="12" borderId="41" xfId="0" applyNumberFormat="1" applyFont="1" applyFill="1" applyBorder="1" applyAlignment="1" applyProtection="1">
      <alignment horizontal="right" vertical="top" wrapText="1"/>
    </xf>
    <xf numFmtId="0" fontId="43" fillId="0" borderId="0" xfId="0" applyFont="1" applyAlignment="1" applyProtection="1">
      <alignment horizontal="right" vertical="top" wrapText="1"/>
      <protection locked="0"/>
    </xf>
    <xf numFmtId="0" fontId="43" fillId="0" borderId="0" xfId="0" applyFont="1" applyAlignment="1" applyProtection="1">
      <alignment horizontal="right" vertical="top" wrapText="1"/>
    </xf>
    <xf numFmtId="0" fontId="43" fillId="0" borderId="0" xfId="0" applyFont="1" applyAlignment="1" applyProtection="1">
      <alignment horizontal="right" wrapText="1"/>
    </xf>
    <xf numFmtId="0" fontId="0" fillId="0" borderId="0" xfId="0" applyAlignment="1" applyProtection="1">
      <alignment horizontal="center"/>
    </xf>
    <xf numFmtId="9" fontId="32" fillId="0" borderId="41" xfId="1" applyFont="1" applyFill="1" applyBorder="1" applyAlignment="1" applyProtection="1">
      <alignment horizontal="center" vertical="top" wrapText="1"/>
      <protection locked="0"/>
    </xf>
    <xf numFmtId="0" fontId="43" fillId="0" borderId="0" xfId="0" applyFont="1" applyAlignment="1" applyProtection="1">
      <alignment horizontal="center" wrapText="1"/>
      <protection locked="0"/>
    </xf>
    <xf numFmtId="1" fontId="32" fillId="0" borderId="39" xfId="0" applyNumberFormat="1" applyFont="1" applyFill="1" applyBorder="1" applyAlignment="1" applyProtection="1">
      <alignment horizontal="center" vertical="top" wrapText="1"/>
      <protection locked="0"/>
    </xf>
    <xf numFmtId="1" fontId="32" fillId="0" borderId="41" xfId="0" applyNumberFormat="1" applyFont="1" applyFill="1" applyBorder="1" applyAlignment="1" applyProtection="1">
      <alignment horizontal="center" vertical="top" wrapText="1"/>
      <protection locked="0"/>
    </xf>
    <xf numFmtId="0" fontId="28" fillId="6" borderId="38" xfId="0" applyFont="1" applyFill="1" applyBorder="1" applyAlignment="1" applyProtection="1">
      <alignment horizontal="left" vertical="center"/>
    </xf>
    <xf numFmtId="0" fontId="28" fillId="6" borderId="15" xfId="0" applyFont="1" applyFill="1" applyBorder="1" applyAlignment="1" applyProtection="1">
      <alignment horizontal="left" vertical="center"/>
    </xf>
    <xf numFmtId="0" fontId="28" fillId="6" borderId="37" xfId="0" applyFont="1" applyFill="1" applyBorder="1" applyAlignment="1" applyProtection="1">
      <alignment horizontal="left" vertical="center"/>
    </xf>
    <xf numFmtId="0" fontId="32" fillId="6" borderId="38" xfId="0" applyFont="1" applyFill="1" applyBorder="1" applyAlignment="1" applyProtection="1">
      <alignment horizontal="center" vertical="center" wrapText="1"/>
    </xf>
    <xf numFmtId="0" fontId="32" fillId="6" borderId="15" xfId="0" applyFont="1" applyFill="1" applyBorder="1" applyAlignment="1" applyProtection="1">
      <alignment horizontal="center" vertical="center" wrapText="1"/>
    </xf>
    <xf numFmtId="0" fontId="25" fillId="6" borderId="37" xfId="0" applyFont="1" applyFill="1" applyBorder="1" applyAlignment="1" applyProtection="1">
      <alignment horizontal="center" vertical="center" wrapText="1"/>
    </xf>
    <xf numFmtId="0" fontId="28" fillId="6" borderId="15" xfId="0" applyFont="1" applyFill="1" applyBorder="1" applyAlignment="1" applyProtection="1">
      <alignment horizontal="center" vertical="center" wrapText="1"/>
    </xf>
    <xf numFmtId="0" fontId="29" fillId="6" borderId="37" xfId="0" applyFont="1" applyFill="1" applyBorder="1" applyAlignment="1" applyProtection="1">
      <alignment horizontal="center" vertical="center" wrapText="1"/>
    </xf>
    <xf numFmtId="0" fontId="30" fillId="6" borderId="15" xfId="0" applyNumberFormat="1" applyFont="1" applyFill="1" applyBorder="1" applyAlignment="1" applyProtection="1">
      <alignment horizontal="center" vertical="center" wrapText="1"/>
    </xf>
    <xf numFmtId="0" fontId="25" fillId="6" borderId="15" xfId="0" applyFont="1" applyFill="1" applyBorder="1" applyAlignment="1" applyProtection="1">
      <alignment horizontal="center" vertical="center" wrapText="1"/>
    </xf>
    <xf numFmtId="0" fontId="32" fillId="6" borderId="37" xfId="0" applyFont="1" applyFill="1" applyBorder="1" applyAlignment="1" applyProtection="1">
      <alignment horizontal="center" vertical="center" wrapText="1"/>
    </xf>
    <xf numFmtId="177" fontId="2" fillId="4" borderId="24" xfId="0" applyNumberFormat="1" applyFont="1" applyFill="1" applyBorder="1" applyAlignment="1" applyProtection="1">
      <alignment horizontal="right" vertical="center" indent="1"/>
    </xf>
    <xf numFmtId="177" fontId="2" fillId="4" borderId="15" xfId="0" applyNumberFormat="1" applyFont="1" applyFill="1" applyBorder="1" applyAlignment="1" applyProtection="1">
      <alignment horizontal="right" vertical="center" indent="1"/>
    </xf>
    <xf numFmtId="177" fontId="2" fillId="4" borderId="4" xfId="0" applyNumberFormat="1" applyFont="1" applyFill="1" applyBorder="1" applyAlignment="1" applyProtection="1">
      <alignment horizontal="right" vertical="center" indent="1"/>
    </xf>
    <xf numFmtId="177" fontId="46" fillId="8" borderId="0" xfId="0" applyNumberFormat="1" applyFont="1" applyFill="1" applyBorder="1" applyAlignment="1" applyProtection="1">
      <alignment horizontal="right" vertical="center" indent="1"/>
      <protection hidden="1"/>
    </xf>
    <xf numFmtId="177" fontId="6" fillId="0" borderId="0" xfId="0" applyNumberFormat="1" applyFont="1" applyFill="1" applyAlignment="1" applyProtection="1">
      <alignment vertical="center"/>
    </xf>
    <xf numFmtId="177" fontId="0" fillId="4" borderId="2" xfId="0" applyNumberFormat="1" applyFont="1" applyFill="1" applyBorder="1" applyAlignment="1" applyProtection="1">
      <alignment vertical="center"/>
      <protection locked="0"/>
    </xf>
    <xf numFmtId="177" fontId="0" fillId="4" borderId="15" xfId="0" applyNumberFormat="1" applyFont="1" applyFill="1" applyBorder="1" applyAlignment="1" applyProtection="1">
      <alignment vertical="center"/>
      <protection locked="0"/>
    </xf>
    <xf numFmtId="177" fontId="0" fillId="4" borderId="4" xfId="0" applyNumberFormat="1" applyFont="1" applyFill="1" applyBorder="1" applyAlignment="1" applyProtection="1">
      <alignment vertical="center"/>
      <protection locked="0"/>
    </xf>
    <xf numFmtId="0" fontId="2" fillId="0" borderId="9" xfId="0" applyFont="1" applyBorder="1" applyAlignment="1" applyProtection="1">
      <alignment vertical="center"/>
      <protection locked="0"/>
    </xf>
    <xf numFmtId="0" fontId="32" fillId="0" borderId="42" xfId="0" applyFont="1" applyFill="1" applyBorder="1" applyAlignment="1" applyProtection="1">
      <alignment horizontal="left" vertical="top" wrapText="1"/>
      <protection locked="0"/>
    </xf>
    <xf numFmtId="165" fontId="32" fillId="0" borderId="42" xfId="0" applyNumberFormat="1" applyFont="1" applyFill="1" applyBorder="1" applyAlignment="1" applyProtection="1">
      <alignment horizontal="left" vertical="top" wrapText="1"/>
      <protection locked="0"/>
    </xf>
    <xf numFmtId="164" fontId="32" fillId="0" borderId="42" xfId="0" applyNumberFormat="1" applyFont="1" applyFill="1" applyBorder="1" applyAlignment="1" applyProtection="1">
      <alignment horizontal="left" vertical="top" wrapText="1"/>
      <protection locked="0"/>
    </xf>
    <xf numFmtId="1" fontId="32" fillId="0" borderId="42" xfId="0" applyNumberFormat="1" applyFont="1" applyFill="1" applyBorder="1" applyAlignment="1" applyProtection="1">
      <alignment horizontal="left" vertical="top" wrapText="1"/>
      <protection locked="0"/>
    </xf>
    <xf numFmtId="9" fontId="32" fillId="0" borderId="42" xfId="1" applyFont="1" applyFill="1" applyBorder="1" applyAlignment="1" applyProtection="1">
      <alignment horizontal="left" vertical="top" wrapText="1"/>
      <protection locked="0"/>
    </xf>
    <xf numFmtId="164" fontId="32" fillId="0" borderId="43" xfId="0" applyNumberFormat="1" applyFont="1" applyFill="1" applyBorder="1" applyAlignment="1" applyProtection="1">
      <alignment horizontal="left" vertical="top" wrapText="1"/>
      <protection locked="0"/>
    </xf>
    <xf numFmtId="0" fontId="32" fillId="6" borderId="38" xfId="0" applyFont="1" applyFill="1" applyBorder="1" applyAlignment="1" applyProtection="1">
      <alignment horizontal="center" vertical="center"/>
    </xf>
    <xf numFmtId="0" fontId="32" fillId="0" borderId="39" xfId="0" applyFont="1" applyFill="1" applyBorder="1" applyAlignment="1" applyProtection="1">
      <alignment horizontal="left" vertical="top"/>
      <protection locked="0"/>
    </xf>
    <xf numFmtId="0" fontId="32" fillId="0" borderId="42" xfId="0" applyFont="1" applyFill="1" applyBorder="1" applyAlignment="1" applyProtection="1">
      <alignment horizontal="left" vertical="top"/>
      <protection locked="0"/>
    </xf>
    <xf numFmtId="0" fontId="43" fillId="0" borderId="0" xfId="0" applyFont="1" applyAlignment="1" applyProtection="1">
      <alignment horizontal="left" vertical="top"/>
      <protection locked="0"/>
    </xf>
    <xf numFmtId="165" fontId="32" fillId="0" borderId="41" xfId="0" applyNumberFormat="1" applyFont="1" applyFill="1" applyBorder="1" applyAlignment="1" applyProtection="1">
      <alignment horizontal="left" vertical="top" wrapText="1"/>
      <protection locked="0"/>
    </xf>
    <xf numFmtId="0" fontId="32" fillId="0" borderId="41" xfId="0" applyFont="1" applyFill="1" applyBorder="1" applyAlignment="1" applyProtection="1">
      <alignment horizontal="left" vertical="top"/>
      <protection locked="0"/>
    </xf>
    <xf numFmtId="164" fontId="32" fillId="0" borderId="41" xfId="0" applyNumberFormat="1" applyFont="1" applyFill="1" applyBorder="1" applyAlignment="1" applyProtection="1">
      <alignment horizontal="left" vertical="top" wrapText="1"/>
      <protection locked="0"/>
    </xf>
    <xf numFmtId="1" fontId="32" fillId="0" borderId="41" xfId="0" applyNumberFormat="1" applyFont="1" applyFill="1" applyBorder="1" applyAlignment="1" applyProtection="1">
      <alignment horizontal="left" vertical="top" wrapText="1"/>
      <protection locked="0"/>
    </xf>
    <xf numFmtId="9" fontId="32" fillId="0" borderId="41" xfId="1" applyFont="1" applyFill="1" applyBorder="1" applyAlignment="1" applyProtection="1">
      <alignment horizontal="left" vertical="top" wrapText="1"/>
      <protection locked="0"/>
    </xf>
    <xf numFmtId="0" fontId="32" fillId="0" borderId="44" xfId="0" applyFont="1" applyFill="1" applyBorder="1" applyAlignment="1" applyProtection="1">
      <alignment horizontal="left" vertical="top" wrapText="1"/>
      <protection locked="0"/>
    </xf>
    <xf numFmtId="165" fontId="32" fillId="0" borderId="44" xfId="0" applyNumberFormat="1" applyFont="1" applyFill="1" applyBorder="1" applyAlignment="1" applyProtection="1">
      <alignment horizontal="left" vertical="top" wrapText="1"/>
      <protection locked="0"/>
    </xf>
    <xf numFmtId="0" fontId="32" fillId="0" borderId="44" xfId="0" applyFont="1" applyFill="1" applyBorder="1" applyAlignment="1" applyProtection="1">
      <alignment horizontal="left" vertical="top"/>
      <protection locked="0"/>
    </xf>
    <xf numFmtId="164" fontId="32" fillId="0" borderId="44" xfId="0" applyNumberFormat="1" applyFont="1" applyFill="1" applyBorder="1" applyAlignment="1" applyProtection="1">
      <alignment horizontal="left" vertical="top" wrapText="1"/>
      <protection locked="0"/>
    </xf>
    <xf numFmtId="1" fontId="32" fillId="0" borderId="44" xfId="0" applyNumberFormat="1" applyFont="1" applyFill="1" applyBorder="1" applyAlignment="1" applyProtection="1">
      <alignment horizontal="left" vertical="top" wrapText="1"/>
      <protection locked="0"/>
    </xf>
    <xf numFmtId="9" fontId="32" fillId="0" borderId="44" xfId="1" applyFont="1" applyFill="1" applyBorder="1" applyAlignment="1" applyProtection="1">
      <alignment horizontal="left" vertical="top" wrapText="1"/>
      <protection locked="0"/>
    </xf>
    <xf numFmtId="1" fontId="32" fillId="0" borderId="44" xfId="0" applyNumberFormat="1" applyFont="1" applyFill="1" applyBorder="1" applyAlignment="1" applyProtection="1">
      <alignment horizontal="center" vertical="top" wrapText="1"/>
      <protection locked="0"/>
    </xf>
    <xf numFmtId="164" fontId="32" fillId="0" borderId="44" xfId="0" applyNumberFormat="1" applyFont="1" applyFill="1" applyBorder="1" applyAlignment="1" applyProtection="1">
      <alignment horizontal="right" vertical="top" wrapText="1"/>
      <protection locked="0"/>
    </xf>
    <xf numFmtId="166" fontId="32" fillId="12" borderId="44" xfId="0" applyNumberFormat="1" applyFont="1" applyFill="1" applyBorder="1" applyAlignment="1" applyProtection="1">
      <alignment horizontal="right" vertical="top" wrapText="1"/>
    </xf>
    <xf numFmtId="167" fontId="32" fillId="12" borderId="44" xfId="0" applyNumberFormat="1" applyFont="1" applyFill="1" applyBorder="1" applyAlignment="1" applyProtection="1">
      <alignment horizontal="right" vertical="top" wrapText="1"/>
    </xf>
    <xf numFmtId="9" fontId="32" fillId="0" borderId="44" xfId="1" applyFont="1" applyFill="1" applyBorder="1" applyAlignment="1" applyProtection="1">
      <alignment horizontal="center" vertical="top" wrapText="1"/>
      <protection locked="0"/>
    </xf>
    <xf numFmtId="0" fontId="32" fillId="13" borderId="42" xfId="0" applyFont="1" applyFill="1" applyBorder="1" applyAlignment="1" applyProtection="1">
      <alignment horizontal="left" vertical="top" wrapText="1"/>
      <protection locked="0"/>
    </xf>
    <xf numFmtId="0" fontId="32" fillId="13" borderId="39" xfId="0" applyFont="1" applyFill="1" applyBorder="1" applyAlignment="1" applyProtection="1">
      <alignment horizontal="left" vertical="top" wrapText="1"/>
      <protection locked="0"/>
    </xf>
    <xf numFmtId="0" fontId="26" fillId="0" borderId="2" xfId="0" applyFont="1" applyBorder="1" applyAlignment="1" applyProtection="1">
      <alignment horizontal="center"/>
    </xf>
    <xf numFmtId="0" fontId="0" fillId="0" borderId="2" xfId="0" applyBorder="1" applyAlignment="1" applyProtection="1">
      <alignment horizontal="center"/>
      <protection locked="0"/>
    </xf>
    <xf numFmtId="0" fontId="0" fillId="0" borderId="2" xfId="0" applyFont="1" applyBorder="1" applyAlignment="1" applyProtection="1">
      <alignment horizontal="left" vertical="center" indent="1"/>
      <protection locked="0"/>
    </xf>
    <xf numFmtId="0" fontId="0" fillId="0" borderId="2" xfId="0" applyFont="1" applyBorder="1" applyAlignment="1" applyProtection="1">
      <alignment horizontal="left" vertical="top" indent="1"/>
      <protection locked="0"/>
    </xf>
    <xf numFmtId="0" fontId="2" fillId="0" borderId="0" xfId="0" applyFont="1" applyBorder="1" applyAlignment="1" applyProtection="1">
      <alignment horizontal="left" vertical="top" indent="1"/>
      <protection locked="0"/>
    </xf>
    <xf numFmtId="0" fontId="35" fillId="7" borderId="0" xfId="0" applyFont="1" applyFill="1" applyBorder="1" applyAlignment="1" applyProtection="1">
      <alignment horizontal="left" indent="1"/>
    </xf>
    <xf numFmtId="0" fontId="45" fillId="3" borderId="3" xfId="0" applyFont="1" applyFill="1" applyBorder="1" applyAlignment="1" applyProtection="1">
      <alignment horizontal="center" vertical="center" wrapText="1"/>
    </xf>
    <xf numFmtId="0" fontId="45" fillId="3" borderId="9" xfId="0" applyFont="1" applyFill="1" applyBorder="1" applyAlignment="1" applyProtection="1">
      <alignment horizontal="center" vertical="center" wrapText="1"/>
    </xf>
    <xf numFmtId="0" fontId="8" fillId="3" borderId="3" xfId="0" applyFont="1" applyFill="1" applyBorder="1" applyAlignment="1" applyProtection="1">
      <alignment horizontal="center" vertical="center" wrapText="1"/>
    </xf>
    <xf numFmtId="0" fontId="8" fillId="3" borderId="9" xfId="0" applyFont="1" applyFill="1" applyBorder="1" applyAlignment="1" applyProtection="1">
      <alignment horizontal="center" vertical="center" wrapText="1"/>
    </xf>
    <xf numFmtId="0" fontId="0" fillId="0" borderId="0" xfId="0" applyFont="1" applyBorder="1" applyAlignment="1" applyProtection="1">
      <alignment horizontal="left" vertical="top" wrapText="1" indent="1"/>
    </xf>
    <xf numFmtId="0" fontId="0" fillId="0" borderId="0" xfId="0" applyFont="1" applyBorder="1" applyAlignment="1" applyProtection="1">
      <alignment horizontal="left" vertical="center" wrapText="1" indent="1"/>
      <protection locked="0"/>
    </xf>
    <xf numFmtId="0" fontId="34" fillId="8" borderId="0" xfId="0" applyFont="1" applyFill="1" applyBorder="1" applyAlignment="1" applyProtection="1">
      <alignment horizontal="left" indent="1"/>
    </xf>
    <xf numFmtId="0" fontId="26" fillId="0" borderId="3" xfId="0" applyFont="1" applyBorder="1" applyAlignment="1" applyProtection="1">
      <alignment horizontal="left"/>
    </xf>
    <xf numFmtId="176" fontId="2" fillId="0" borderId="0" xfId="0" applyNumberFormat="1" applyFont="1" applyBorder="1" applyAlignment="1" applyProtection="1">
      <alignment horizontal="center" vertical="center"/>
    </xf>
    <xf numFmtId="0" fontId="2" fillId="0" borderId="9" xfId="0" applyFont="1" applyBorder="1" applyAlignment="1" applyProtection="1">
      <alignment horizontal="left" vertical="center" indent="1"/>
    </xf>
    <xf numFmtId="15" fontId="1" fillId="0" borderId="9" xfId="0" applyNumberFormat="1" applyFont="1" applyBorder="1" applyAlignment="1" applyProtection="1">
      <alignment horizontal="center" vertical="center"/>
    </xf>
    <xf numFmtId="0" fontId="39" fillId="5" borderId="2" xfId="0" applyFont="1" applyFill="1" applyBorder="1" applyAlignment="1" applyProtection="1">
      <alignment horizontal="center"/>
      <protection locked="0"/>
    </xf>
    <xf numFmtId="0" fontId="2" fillId="0" borderId="0" xfId="0" applyFont="1" applyBorder="1" applyAlignment="1" applyProtection="1">
      <alignment horizontal="left" vertical="top" indent="1"/>
    </xf>
    <xf numFmtId="0" fontId="38" fillId="5" borderId="0" xfId="0" applyFont="1" applyFill="1" applyAlignment="1" applyProtection="1">
      <alignment horizontal="right" wrapText="1"/>
    </xf>
    <xf numFmtId="0" fontId="8" fillId="3" borderId="23" xfId="0" applyFont="1" applyFill="1" applyBorder="1" applyAlignment="1" applyProtection="1">
      <alignment horizontal="center" wrapText="1"/>
    </xf>
    <xf numFmtId="0" fontId="27" fillId="0" borderId="2" xfId="0" applyFont="1" applyBorder="1" applyAlignment="1" applyProtection="1">
      <alignment horizontal="left" vertical="top" indent="1"/>
    </xf>
    <xf numFmtId="0" fontId="0" fillId="0" borderId="2" xfId="0" applyFont="1" applyBorder="1" applyAlignment="1" applyProtection="1">
      <alignment horizontal="left" vertical="top" indent="1"/>
    </xf>
    <xf numFmtId="0" fontId="0" fillId="0" borderId="2" xfId="0" applyFont="1" applyBorder="1" applyAlignment="1" applyProtection="1">
      <alignment horizontal="left" vertical="center" indent="1"/>
    </xf>
    <xf numFmtId="49" fontId="12" fillId="0" borderId="0" xfId="0" applyNumberFormat="1" applyFont="1" applyBorder="1" applyAlignment="1" applyProtection="1">
      <alignment horizontal="left" vertical="top" wrapText="1" indent="1"/>
    </xf>
    <xf numFmtId="0" fontId="42" fillId="0" borderId="0" xfId="0" applyFont="1" applyBorder="1" applyAlignment="1" applyProtection="1">
      <alignment horizontal="left" vertical="top" wrapText="1" indent="1"/>
    </xf>
    <xf numFmtId="0" fontId="9" fillId="0" borderId="0" xfId="0" applyFont="1" applyBorder="1" applyAlignment="1" applyProtection="1">
      <alignment horizontal="left"/>
    </xf>
    <xf numFmtId="0" fontId="8" fillId="3" borderId="6" xfId="0" applyFont="1" applyFill="1" applyBorder="1" applyAlignment="1" applyProtection="1">
      <alignment horizontal="center" vertical="center"/>
    </xf>
    <xf numFmtId="0" fontId="8" fillId="3" borderId="7" xfId="0" applyFont="1" applyFill="1" applyBorder="1" applyAlignment="1" applyProtection="1">
      <alignment horizontal="center" vertical="center"/>
    </xf>
    <xf numFmtId="0" fontId="8" fillId="3" borderId="8" xfId="0" applyFont="1" applyFill="1" applyBorder="1" applyAlignment="1" applyProtection="1">
      <alignment horizontal="center" vertical="center"/>
    </xf>
    <xf numFmtId="0" fontId="0" fillId="0" borderId="3" xfId="0" applyBorder="1" applyAlignment="1" applyProtection="1">
      <alignment horizontal="left" vertical="center" wrapText="1"/>
    </xf>
    <xf numFmtId="0" fontId="0" fillId="0" borderId="0" xfId="0" applyBorder="1" applyAlignment="1" applyProtection="1">
      <alignment horizontal="left" vertical="center" wrapText="1"/>
    </xf>
    <xf numFmtId="0" fontId="2" fillId="0" borderId="0" xfId="0" applyFont="1" applyAlignment="1" applyProtection="1">
      <alignment horizontal="center" vertical="center"/>
    </xf>
    <xf numFmtId="167" fontId="22" fillId="10" borderId="0" xfId="55" applyNumberFormat="1" applyBorder="1" applyAlignment="1" applyProtection="1">
      <alignment horizontal="center" vertical="center"/>
    </xf>
    <xf numFmtId="172" fontId="0" fillId="0" borderId="0" xfId="0" applyNumberFormat="1" applyBorder="1" applyAlignment="1" applyProtection="1">
      <alignment horizontal="right" vertical="center"/>
    </xf>
    <xf numFmtId="171" fontId="0" fillId="0" borderId="0" xfId="0" applyNumberFormat="1" applyBorder="1" applyAlignment="1" applyProtection="1">
      <alignment horizontal="right" vertical="center"/>
    </xf>
    <xf numFmtId="172" fontId="0" fillId="0" borderId="9" xfId="0" applyNumberFormat="1" applyBorder="1" applyAlignment="1" applyProtection="1">
      <alignment horizontal="right" vertical="center"/>
    </xf>
    <xf numFmtId="173" fontId="0" fillId="0" borderId="0" xfId="0" applyNumberFormat="1" applyBorder="1" applyAlignment="1" applyProtection="1">
      <alignment horizontal="right" vertical="center"/>
    </xf>
    <xf numFmtId="0" fontId="0" fillId="0" borderId="0" xfId="0" applyBorder="1" applyAlignment="1" applyProtection="1">
      <alignment horizontal="left" vertical="center"/>
    </xf>
    <xf numFmtId="0" fontId="0" fillId="0" borderId="9" xfId="0" applyBorder="1" applyAlignment="1" applyProtection="1">
      <alignment horizontal="left" vertical="center"/>
    </xf>
    <xf numFmtId="0" fontId="0" fillId="0" borderId="36" xfId="0" applyBorder="1" applyAlignment="1" applyProtection="1">
      <alignment horizontal="left" vertical="center"/>
    </xf>
    <xf numFmtId="0" fontId="20" fillId="0" borderId="0" xfId="0" applyFont="1" applyAlignment="1" applyProtection="1">
      <alignment horizontal="center" vertical="center" wrapText="1"/>
    </xf>
  </cellXfs>
  <cellStyles count="57">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Good" xfId="55" builtinId="26"/>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Neutral" xfId="56" builtinId="28"/>
    <cellStyle name="Normal" xfId="0" builtinId="0"/>
    <cellStyle name="Normal 2" xfId="2"/>
    <cellStyle name="Percent" xfId="1" builtinId="5"/>
  </cellStyles>
  <dxfs count="74">
    <dxf>
      <numFmt numFmtId="178" formatCode="0&quot; vueltas&quot;"/>
    </dxf>
    <dxf>
      <numFmt numFmtId="165" formatCode="0.00&quot; m&quot;"/>
    </dxf>
    <dxf>
      <numFmt numFmtId="169" formatCode="0&quot; unid&quot;"/>
    </dxf>
    <dxf>
      <font>
        <b/>
        <i val="0"/>
        <strike val="0"/>
        <color rgb="FFC00000"/>
      </font>
      <numFmt numFmtId="0" formatCode="General"/>
    </dxf>
    <dxf>
      <border>
        <top/>
        <bottom/>
        <vertical/>
        <horizontal/>
      </border>
    </dxf>
    <dxf>
      <border>
        <top/>
        <bottom style="thin">
          <color auto="1"/>
        </bottom>
        <vertical/>
        <horizontal/>
      </border>
    </dxf>
    <dxf>
      <numFmt numFmtId="179" formatCode="0&quot; in&quot;"/>
    </dxf>
    <dxf>
      <numFmt numFmtId="180" formatCode="&quot;≈&quot;0.0&quot; cm2&quot;"/>
    </dxf>
    <dxf>
      <font>
        <color theme="0"/>
      </font>
    </dxf>
    <dxf>
      <numFmt numFmtId="181" formatCode="&quot;≈&quot;0.0&quot; cm&quot;"/>
    </dxf>
    <dxf>
      <numFmt numFmtId="165" formatCode="0.00&quot; m&quot;"/>
    </dxf>
    <dxf>
      <numFmt numFmtId="178" formatCode="0&quot; vueltas&quot;"/>
    </dxf>
    <dxf>
      <numFmt numFmtId="169" formatCode="0&quot; unid&quot;"/>
    </dxf>
    <dxf>
      <font>
        <b/>
        <i val="0"/>
        <strike val="0"/>
        <color rgb="FFC00000"/>
      </font>
      <numFmt numFmtId="0" formatCode="General"/>
    </dxf>
    <dxf>
      <border>
        <top/>
        <bottom/>
        <vertical/>
        <horizontal/>
      </border>
    </dxf>
    <dxf>
      <border>
        <top/>
        <bottom style="thin">
          <color auto="1"/>
        </bottom>
        <vertical/>
        <horizontal/>
      </border>
    </dxf>
    <dxf>
      <numFmt numFmtId="179" formatCode="0&quot; in&quot;"/>
    </dxf>
    <dxf>
      <numFmt numFmtId="180" formatCode="&quot;≈&quot;0.0&quot; cm2&quot;"/>
    </dxf>
    <dxf>
      <font>
        <color theme="0"/>
      </font>
    </dxf>
    <dxf>
      <numFmt numFmtId="181" formatCode="&quot;≈&quot;0.0&quot; cm&quot;"/>
    </dxf>
    <dxf>
      <numFmt numFmtId="178" formatCode="0&quot; vueltas&quot;"/>
    </dxf>
    <dxf>
      <numFmt numFmtId="165" formatCode="0.00&quot; m&quot;"/>
    </dxf>
    <dxf>
      <numFmt numFmtId="169" formatCode="0&quot; unid&quot;"/>
    </dxf>
    <dxf>
      <font>
        <b/>
        <i val="0"/>
        <strike val="0"/>
        <color rgb="FFC00000"/>
      </font>
      <numFmt numFmtId="0" formatCode="General"/>
    </dxf>
    <dxf>
      <border>
        <top/>
        <bottom/>
        <vertical/>
        <horizontal/>
      </border>
    </dxf>
    <dxf>
      <border>
        <top/>
        <bottom style="thin">
          <color auto="1"/>
        </bottom>
        <vertical/>
        <horizontal/>
      </border>
    </dxf>
    <dxf>
      <numFmt numFmtId="179" formatCode="0&quot; in&quot;"/>
    </dxf>
    <dxf>
      <numFmt numFmtId="180" formatCode="&quot;≈&quot;0.0&quot; cm2&quot;"/>
    </dxf>
    <dxf>
      <font>
        <color theme="0"/>
      </font>
    </dxf>
    <dxf>
      <numFmt numFmtId="181" formatCode="&quot;≈&quot;0.0&quot; cm&quot;"/>
    </dxf>
    <dxf>
      <border>
        <top/>
        <bottom/>
        <vertical/>
        <horizontal/>
      </border>
    </dxf>
    <dxf>
      <border>
        <top/>
        <bottom style="thin">
          <color auto="1"/>
        </bottom>
        <vertical/>
        <horizontal/>
      </border>
    </dxf>
    <dxf>
      <font>
        <color rgb="FFF8F8F8"/>
      </font>
    </dxf>
    <dxf>
      <fill>
        <patternFill patternType="none">
          <bgColor auto="1"/>
        </patternFill>
      </fill>
      <border>
        <bottom/>
        <vertical/>
        <horizontal/>
      </border>
    </dxf>
    <dxf>
      <fill>
        <patternFill patternType="none">
          <bgColor auto="1"/>
        </patternFill>
      </fill>
      <border>
        <bottom/>
        <vertical/>
        <horizontal/>
      </border>
    </dxf>
    <dxf>
      <fill>
        <patternFill patternType="none">
          <bgColor auto="1"/>
        </patternFill>
      </fill>
      <border>
        <bottom/>
        <vertical/>
        <horizontal/>
      </border>
    </dxf>
    <dxf>
      <font>
        <u val="none"/>
        <color theme="0" tint="-0.14996795556505021"/>
      </font>
    </dxf>
    <dxf>
      <font>
        <strike val="0"/>
        <u val="none"/>
        <color theme="0" tint="-0.14996795556505021"/>
      </font>
    </dxf>
    <dxf>
      <font>
        <color rgb="FFF8F8F8"/>
      </font>
    </dxf>
    <dxf>
      <font>
        <b val="0"/>
        <i val="0"/>
        <strike val="0"/>
        <condense val="0"/>
        <extend val="0"/>
        <outline val="0"/>
        <shadow val="0"/>
        <u val="none"/>
        <vertAlign val="baseline"/>
        <sz val="6"/>
        <color auto="1"/>
        <name val="Arial"/>
        <scheme val="none"/>
      </font>
      <numFmt numFmtId="167" formatCode="0.0&quot; cm3&quot;"/>
      <fill>
        <patternFill patternType="solid">
          <fgColor indexed="64"/>
          <bgColor theme="7" tint="0.79998168889431442"/>
        </patternFill>
      </fill>
      <alignment horizontal="right" vertical="top" textRotation="0" wrapText="1" indent="0" justifyLastLine="0" shrinkToFit="0" readingOrder="0"/>
      <border diagonalUp="0" diagonalDown="0" outline="0">
        <left style="thin">
          <color auto="1"/>
        </left>
        <right style="thin">
          <color auto="1"/>
        </right>
        <top style="dotted">
          <color theme="1" tint="0.499984740745262"/>
        </top>
        <bottom style="dotted">
          <color theme="1" tint="0.499984740745262"/>
        </bottom>
      </border>
      <protection locked="1" hidden="0"/>
    </dxf>
    <dxf>
      <font>
        <b val="0"/>
        <i val="0"/>
        <strike val="0"/>
        <condense val="0"/>
        <extend val="0"/>
        <outline val="0"/>
        <shadow val="0"/>
        <u val="none"/>
        <vertAlign val="baseline"/>
        <sz val="6"/>
        <color auto="1"/>
        <name val="Arial"/>
        <scheme val="none"/>
      </font>
      <fill>
        <patternFill patternType="none">
          <fgColor indexed="64"/>
          <bgColor auto="1"/>
        </patternFill>
      </fill>
      <alignment horizontal="center" vertical="top" textRotation="0" wrapText="1" indent="0" justifyLastLine="0" shrinkToFit="0" readingOrder="0"/>
      <border diagonalUp="0" diagonalDown="0" outline="0">
        <left style="thin">
          <color auto="1"/>
        </left>
        <right style="thin">
          <color auto="1"/>
        </right>
        <top style="dotted">
          <color theme="1" tint="0.499984740745262"/>
        </top>
        <bottom style="dotted">
          <color theme="1" tint="0.499984740745262"/>
        </bottom>
      </border>
      <protection locked="0" hidden="0"/>
    </dxf>
    <dxf>
      <font>
        <b val="0"/>
        <i val="0"/>
        <strike val="0"/>
        <condense val="0"/>
        <extend val="0"/>
        <outline val="0"/>
        <shadow val="0"/>
        <u val="none"/>
        <vertAlign val="baseline"/>
        <sz val="6"/>
        <color auto="1"/>
        <name val="Arial"/>
        <scheme val="none"/>
      </font>
      <numFmt numFmtId="167" formatCode="0.0&quot; cm3&quot;"/>
      <fill>
        <patternFill patternType="solid">
          <fgColor indexed="64"/>
          <bgColor theme="7" tint="0.79998168889431442"/>
        </patternFill>
      </fill>
      <alignment horizontal="right" vertical="top" textRotation="0" wrapText="1" indent="0" justifyLastLine="0" shrinkToFit="0" readingOrder="0"/>
      <border diagonalUp="0" diagonalDown="0">
        <left style="thin">
          <color auto="1"/>
        </left>
        <right style="thin">
          <color auto="1"/>
        </right>
        <top style="dotted">
          <color theme="1" tint="0.499984740745262"/>
        </top>
        <bottom style="dotted">
          <color theme="1" tint="0.499984740745262"/>
        </bottom>
      </border>
      <protection locked="1" hidden="0"/>
    </dxf>
    <dxf>
      <font>
        <b val="0"/>
        <i val="0"/>
        <strike val="0"/>
        <condense val="0"/>
        <extend val="0"/>
        <outline val="0"/>
        <shadow val="0"/>
        <u val="none"/>
        <vertAlign val="baseline"/>
        <sz val="6"/>
        <color auto="1"/>
        <name val="Arial"/>
        <scheme val="none"/>
      </font>
      <numFmt numFmtId="166" formatCode="0.00&quot; cm2&quot;"/>
      <fill>
        <patternFill patternType="solid">
          <fgColor indexed="64"/>
          <bgColor theme="7" tint="0.79998168889431442"/>
        </patternFill>
      </fill>
      <alignment horizontal="right" vertical="top" textRotation="0" wrapText="1" indent="0" justifyLastLine="0" shrinkToFit="0" readingOrder="0"/>
      <border diagonalUp="0" diagonalDown="0">
        <left style="thin">
          <color auto="1"/>
        </left>
        <right style="thin">
          <color auto="1"/>
        </right>
        <top style="dotted">
          <color theme="1" tint="0.499984740745262"/>
        </top>
        <bottom style="dotted">
          <color theme="1" tint="0.499984740745262"/>
        </bottom>
      </border>
      <protection locked="1" hidden="0"/>
    </dxf>
    <dxf>
      <font>
        <b val="0"/>
        <i val="0"/>
        <strike val="0"/>
        <condense val="0"/>
        <extend val="0"/>
        <outline val="0"/>
        <shadow val="0"/>
        <u val="none"/>
        <vertAlign val="baseline"/>
        <sz val="6"/>
        <color auto="1"/>
        <name val="Arial"/>
        <scheme val="none"/>
      </font>
      <numFmt numFmtId="166" formatCode="0.00&quot; cm2&quot;"/>
      <fill>
        <patternFill patternType="solid">
          <fgColor indexed="64"/>
          <bgColor theme="7" tint="0.79998168889431442"/>
        </patternFill>
      </fill>
      <alignment horizontal="right" vertical="top" textRotation="0" wrapText="1" indent="0" justifyLastLine="0" shrinkToFit="0" readingOrder="0"/>
      <border diagonalUp="0" diagonalDown="0">
        <left style="thin">
          <color auto="1"/>
        </left>
        <right style="thin">
          <color auto="1"/>
        </right>
        <top style="dotted">
          <color theme="1" tint="0.499984740745262"/>
        </top>
        <bottom style="dotted">
          <color theme="1" tint="0.499984740745262"/>
        </bottom>
      </border>
      <protection locked="1" hidden="0"/>
    </dxf>
    <dxf>
      <font>
        <b val="0"/>
        <i val="0"/>
        <strike val="0"/>
        <condense val="0"/>
        <extend val="0"/>
        <outline val="0"/>
        <shadow val="0"/>
        <u val="none"/>
        <vertAlign val="baseline"/>
        <sz val="6"/>
        <color auto="1"/>
        <name val="Arial"/>
        <scheme val="none"/>
      </font>
      <numFmt numFmtId="166" formatCode="0.00&quot; cm2&quot;"/>
      <fill>
        <patternFill patternType="solid">
          <fgColor indexed="64"/>
          <bgColor theme="7" tint="0.79998168889431442"/>
        </patternFill>
      </fill>
      <alignment horizontal="right" vertical="top" textRotation="0" wrapText="1" indent="0" justifyLastLine="0" shrinkToFit="0" readingOrder="0"/>
      <border diagonalUp="0" diagonalDown="0">
        <left style="thin">
          <color auto="1"/>
        </left>
        <right style="thin">
          <color auto="1"/>
        </right>
        <top style="dotted">
          <color theme="1" tint="0.499984740745262"/>
        </top>
        <bottom style="dotted">
          <color theme="1" tint="0.499984740745262"/>
        </bottom>
      </border>
      <protection locked="1" hidden="0"/>
    </dxf>
    <dxf>
      <font>
        <b val="0"/>
        <i val="0"/>
        <strike val="0"/>
        <condense val="0"/>
        <extend val="0"/>
        <outline val="0"/>
        <shadow val="0"/>
        <u val="none"/>
        <vertAlign val="baseline"/>
        <sz val="6"/>
        <color auto="1"/>
        <name val="Arial"/>
        <scheme val="none"/>
      </font>
      <numFmt numFmtId="164" formatCode="0.0&quot; cm&quot;"/>
      <fill>
        <patternFill patternType="none">
          <fgColor indexed="64"/>
          <bgColor indexed="65"/>
        </patternFill>
      </fill>
      <alignment horizontal="right" vertical="top" textRotation="0" wrapText="1" indent="0" justifyLastLine="0" shrinkToFit="0" readingOrder="0"/>
      <border diagonalUp="0" diagonalDown="0" outline="0">
        <left style="thin">
          <color auto="1"/>
        </left>
        <right style="thin">
          <color auto="1"/>
        </right>
        <top style="dotted">
          <color theme="1" tint="0.499984740745262"/>
        </top>
        <bottom style="dotted">
          <color theme="1" tint="0.499984740745262"/>
        </bottom>
      </border>
      <protection locked="0" hidden="0"/>
    </dxf>
    <dxf>
      <font>
        <b val="0"/>
        <i val="0"/>
        <strike val="0"/>
        <condense val="0"/>
        <extend val="0"/>
        <outline val="0"/>
        <shadow val="0"/>
        <u val="none"/>
        <vertAlign val="baseline"/>
        <sz val="6"/>
        <color auto="1"/>
        <name val="Arial"/>
        <scheme val="none"/>
      </font>
      <numFmt numFmtId="1" formatCode="0"/>
      <fill>
        <patternFill patternType="none">
          <fgColor indexed="64"/>
          <bgColor indexed="65"/>
        </patternFill>
      </fill>
      <alignment horizontal="center" vertical="top" textRotation="0" wrapText="1" indent="0" justifyLastLine="0" shrinkToFit="0" readingOrder="0"/>
      <border diagonalUp="0" diagonalDown="0" outline="0">
        <left style="thin">
          <color auto="1"/>
        </left>
        <right style="thin">
          <color auto="1"/>
        </right>
        <top style="dotted">
          <color theme="1" tint="0.499984740745262"/>
        </top>
        <bottom style="dotted">
          <color theme="1" tint="0.499984740745262"/>
        </bottom>
      </border>
      <protection locked="0" hidden="0"/>
    </dxf>
    <dxf>
      <font>
        <b val="0"/>
        <i val="0"/>
        <strike val="0"/>
        <condense val="0"/>
        <extend val="0"/>
        <outline val="0"/>
        <shadow val="0"/>
        <u val="none"/>
        <vertAlign val="baseline"/>
        <sz val="6"/>
        <color auto="1"/>
        <name val="Arial"/>
        <scheme val="none"/>
      </font>
      <numFmt numFmtId="164" formatCode="0.0&quot; cm&quot;"/>
      <fill>
        <patternFill patternType="none">
          <fgColor indexed="64"/>
          <bgColor indexed="65"/>
        </patternFill>
      </fill>
      <alignment horizontal="left" vertical="top" textRotation="0" wrapText="1" indent="0" justifyLastLine="0" shrinkToFit="0" readingOrder="0"/>
      <border diagonalUp="0" diagonalDown="0">
        <left style="thin">
          <color auto="1"/>
        </left>
        <right style="thin">
          <color auto="1"/>
        </right>
        <top style="dotted">
          <color theme="1" tint="0.499984740745262"/>
        </top>
        <bottom style="dotted">
          <color theme="1" tint="0.499984740745262"/>
        </bottom>
        <vertical style="thin">
          <color auto="1"/>
        </vertical>
        <horizontal style="dotted">
          <color theme="1" tint="0.499984740745262"/>
        </horizontal>
      </border>
      <protection locked="0" hidden="0"/>
    </dxf>
    <dxf>
      <font>
        <b val="0"/>
        <i val="0"/>
        <strike val="0"/>
        <condense val="0"/>
        <extend val="0"/>
        <outline val="0"/>
        <shadow val="0"/>
        <u val="none"/>
        <vertAlign val="baseline"/>
        <sz val="6"/>
        <color auto="1"/>
        <name val="Arial"/>
        <scheme val="none"/>
      </font>
      <numFmt numFmtId="164" formatCode="0.0&quot; cm&quot;"/>
      <fill>
        <patternFill patternType="none">
          <fgColor indexed="64"/>
          <bgColor auto="1"/>
        </patternFill>
      </fill>
      <alignment horizontal="left" vertical="top" textRotation="0" wrapText="1" indent="0" justifyLastLine="0" shrinkToFit="0" readingOrder="0"/>
      <border diagonalUp="0" diagonalDown="0">
        <left style="thin">
          <color auto="1"/>
        </left>
        <right style="thin">
          <color auto="1"/>
        </right>
        <top style="dotted">
          <color theme="1" tint="0.499984740745262"/>
        </top>
        <bottom style="dotted">
          <color theme="1" tint="0.499984740745262"/>
        </bottom>
        <vertical style="thin">
          <color auto="1"/>
        </vertical>
        <horizontal style="dotted">
          <color theme="1" tint="0.499984740745262"/>
        </horizontal>
      </border>
      <protection locked="0" hidden="0"/>
    </dxf>
    <dxf>
      <font>
        <b val="0"/>
        <i val="0"/>
        <strike val="0"/>
        <condense val="0"/>
        <extend val="0"/>
        <outline val="0"/>
        <shadow val="0"/>
        <u val="none"/>
        <vertAlign val="baseline"/>
        <sz val="6"/>
        <color auto="1"/>
        <name val="Arial"/>
        <scheme val="none"/>
      </font>
      <fill>
        <patternFill patternType="none">
          <fgColor indexed="64"/>
          <bgColor auto="1"/>
        </patternFill>
      </fill>
      <alignment horizontal="left" vertical="top" textRotation="0" wrapText="1" indent="0" justifyLastLine="0" shrinkToFit="0" readingOrder="0"/>
      <border diagonalUp="0" diagonalDown="0">
        <left style="thin">
          <color auto="1"/>
        </left>
        <right style="thin">
          <color auto="1"/>
        </right>
        <top style="dotted">
          <color theme="1" tint="0.499984740745262"/>
        </top>
        <bottom style="dotted">
          <color theme="1" tint="0.499984740745262"/>
        </bottom>
        <vertical style="thin">
          <color auto="1"/>
        </vertical>
        <horizontal style="dotted">
          <color theme="1" tint="0.499984740745262"/>
        </horizontal>
      </border>
      <protection locked="0" hidden="0"/>
    </dxf>
    <dxf>
      <font>
        <b val="0"/>
        <i val="0"/>
        <strike val="0"/>
        <condense val="0"/>
        <extend val="0"/>
        <outline val="0"/>
        <shadow val="0"/>
        <u val="none"/>
        <vertAlign val="baseline"/>
        <sz val="6"/>
        <color auto="1"/>
        <name val="Arial"/>
        <scheme val="none"/>
      </font>
      <numFmt numFmtId="164" formatCode="0.0&quot; cm&quot;"/>
      <fill>
        <patternFill patternType="none">
          <fgColor indexed="64"/>
          <bgColor auto="1"/>
        </patternFill>
      </fill>
      <alignment horizontal="left" vertical="top" textRotation="0" wrapText="1" indent="0" justifyLastLine="0" shrinkToFit="0" readingOrder="0"/>
      <border diagonalUp="0" diagonalDown="0">
        <left style="thin">
          <color auto="1"/>
        </left>
        <right style="thin">
          <color auto="1"/>
        </right>
        <top style="dotted">
          <color theme="1" tint="0.499984740745262"/>
        </top>
        <bottom style="dotted">
          <color theme="1" tint="0.499984740745262"/>
        </bottom>
        <vertical style="thin">
          <color auto="1"/>
        </vertical>
        <horizontal style="dotted">
          <color theme="1" tint="0.499984740745262"/>
        </horizontal>
      </border>
      <protection locked="0" hidden="0"/>
    </dxf>
    <dxf>
      <font>
        <b val="0"/>
        <i val="0"/>
        <strike val="0"/>
        <condense val="0"/>
        <extend val="0"/>
        <outline val="0"/>
        <shadow val="0"/>
        <u val="none"/>
        <vertAlign val="baseline"/>
        <sz val="6"/>
        <color auto="1"/>
        <name val="Arial"/>
        <scheme val="none"/>
      </font>
      <numFmt numFmtId="164" formatCode="0.0&quot; cm&quot;"/>
      <fill>
        <patternFill patternType="none">
          <fgColor indexed="64"/>
          <bgColor auto="1"/>
        </patternFill>
      </fill>
      <alignment horizontal="left" vertical="top" textRotation="0" wrapText="1" indent="0" justifyLastLine="0" shrinkToFit="0" readingOrder="0"/>
      <border diagonalUp="0" diagonalDown="0">
        <left style="thin">
          <color auto="1"/>
        </left>
        <right style="thin">
          <color auto="1"/>
        </right>
        <top style="dotted">
          <color theme="1" tint="0.499984740745262"/>
        </top>
        <bottom style="dotted">
          <color theme="1" tint="0.499984740745262"/>
        </bottom>
        <vertical style="thin">
          <color auto="1"/>
        </vertical>
        <horizontal style="dotted">
          <color theme="1" tint="0.499984740745262"/>
        </horizontal>
      </border>
      <protection locked="0" hidden="0"/>
    </dxf>
    <dxf>
      <font>
        <b val="0"/>
        <i val="0"/>
        <strike val="0"/>
        <condense val="0"/>
        <extend val="0"/>
        <outline val="0"/>
        <shadow val="0"/>
        <u val="none"/>
        <vertAlign val="baseline"/>
        <sz val="6"/>
        <color auto="1"/>
        <name val="Arial"/>
        <scheme val="none"/>
      </font>
      <numFmt numFmtId="164" formatCode="0.0&quot; cm&quot;"/>
      <fill>
        <patternFill patternType="none">
          <fgColor indexed="64"/>
          <bgColor auto="1"/>
        </patternFill>
      </fill>
      <alignment horizontal="left" vertical="top" textRotation="0" wrapText="1" indent="0" justifyLastLine="0" shrinkToFit="0" readingOrder="0"/>
      <border diagonalUp="0" diagonalDown="0">
        <left style="thin">
          <color auto="1"/>
        </left>
        <right style="thin">
          <color auto="1"/>
        </right>
        <top style="dotted">
          <color theme="1" tint="0.499984740745262"/>
        </top>
        <bottom style="dotted">
          <color theme="1" tint="0.499984740745262"/>
        </bottom>
        <vertical style="thin">
          <color auto="1"/>
        </vertical>
        <horizontal style="dotted">
          <color theme="1" tint="0.499984740745262"/>
        </horizontal>
      </border>
      <protection locked="0" hidden="0"/>
    </dxf>
    <dxf>
      <font>
        <b val="0"/>
        <i val="0"/>
        <strike val="0"/>
        <condense val="0"/>
        <extend val="0"/>
        <outline val="0"/>
        <shadow val="0"/>
        <u val="none"/>
        <vertAlign val="baseline"/>
        <sz val="6"/>
        <color auto="1"/>
        <name val="Arial"/>
        <scheme val="none"/>
      </font>
      <numFmt numFmtId="1" formatCode="0"/>
      <fill>
        <patternFill patternType="none">
          <fgColor indexed="64"/>
          <bgColor auto="1"/>
        </patternFill>
      </fill>
      <alignment horizontal="left" vertical="top" textRotation="0" wrapText="1" indent="0" justifyLastLine="0" shrinkToFit="0" readingOrder="0"/>
      <border diagonalUp="0" diagonalDown="0">
        <left style="thin">
          <color auto="1"/>
        </left>
        <right style="thin">
          <color auto="1"/>
        </right>
        <top style="dotted">
          <color theme="1" tint="0.499984740745262"/>
        </top>
        <bottom style="dotted">
          <color theme="1" tint="0.499984740745262"/>
        </bottom>
        <vertical style="thin">
          <color auto="1"/>
        </vertical>
        <horizontal style="dotted">
          <color theme="1" tint="0.499984740745262"/>
        </horizontal>
      </border>
      <protection locked="0" hidden="0"/>
    </dxf>
    <dxf>
      <font>
        <b val="0"/>
        <i val="0"/>
        <strike val="0"/>
        <condense val="0"/>
        <extend val="0"/>
        <outline val="0"/>
        <shadow val="0"/>
        <u val="none"/>
        <vertAlign val="baseline"/>
        <sz val="6"/>
        <color auto="1"/>
        <name val="Arial"/>
        <scheme val="none"/>
      </font>
      <fill>
        <patternFill patternType="none">
          <fgColor indexed="64"/>
          <bgColor auto="1"/>
        </patternFill>
      </fill>
      <alignment horizontal="left" vertical="top" textRotation="0" wrapText="1" indent="0" justifyLastLine="0" shrinkToFit="0" readingOrder="0"/>
      <border diagonalUp="0" diagonalDown="0">
        <left style="thin">
          <color auto="1"/>
        </left>
        <right style="thin">
          <color auto="1"/>
        </right>
        <top style="dotted">
          <color theme="1" tint="0.499984740745262"/>
        </top>
        <bottom style="dotted">
          <color theme="1" tint="0.499984740745262"/>
        </bottom>
        <vertical style="thin">
          <color auto="1"/>
        </vertical>
        <horizontal style="dotted">
          <color theme="1" tint="0.499984740745262"/>
        </horizontal>
      </border>
      <protection locked="0" hidden="0"/>
    </dxf>
    <dxf>
      <font>
        <b val="0"/>
        <i val="0"/>
        <strike val="0"/>
        <condense val="0"/>
        <extend val="0"/>
        <outline val="0"/>
        <shadow val="0"/>
        <u val="none"/>
        <vertAlign val="baseline"/>
        <sz val="6"/>
        <color auto="1"/>
        <name val="Arial"/>
        <scheme val="none"/>
      </font>
      <numFmt numFmtId="164" formatCode="0.0&quot; cm&quot;"/>
      <fill>
        <patternFill patternType="none">
          <fgColor indexed="64"/>
          <bgColor indexed="65"/>
        </patternFill>
      </fill>
      <alignment horizontal="left" vertical="top" textRotation="0" wrapText="1" indent="0" justifyLastLine="0" shrinkToFit="0" readingOrder="0"/>
      <border diagonalUp="0" diagonalDown="0">
        <left style="thin">
          <color auto="1"/>
        </left>
        <right style="thin">
          <color auto="1"/>
        </right>
        <top style="dotted">
          <color theme="1" tint="0.499984740745262"/>
        </top>
        <bottom style="dotted">
          <color theme="1" tint="0.499984740745262"/>
        </bottom>
        <vertical style="thin">
          <color auto="1"/>
        </vertical>
        <horizontal style="dotted">
          <color theme="1" tint="0.499984740745262"/>
        </horizontal>
      </border>
      <protection locked="0" hidden="0"/>
    </dxf>
    <dxf>
      <font>
        <b val="0"/>
        <i val="0"/>
        <strike val="0"/>
        <condense val="0"/>
        <extend val="0"/>
        <outline val="0"/>
        <shadow val="0"/>
        <u val="none"/>
        <vertAlign val="baseline"/>
        <sz val="6"/>
        <color auto="1"/>
        <name val="Arial"/>
        <scheme val="none"/>
      </font>
      <numFmt numFmtId="164" formatCode="0.0&quot; cm&quot;"/>
      <fill>
        <patternFill patternType="none">
          <fgColor indexed="64"/>
          <bgColor auto="1"/>
        </patternFill>
      </fill>
      <alignment horizontal="left" vertical="top" textRotation="0" wrapText="1" indent="0" justifyLastLine="0" shrinkToFit="0" readingOrder="0"/>
      <border diagonalUp="0" diagonalDown="0">
        <left style="thin">
          <color auto="1"/>
        </left>
        <right style="thin">
          <color auto="1"/>
        </right>
        <top style="dotted">
          <color theme="1" tint="0.499984740745262"/>
        </top>
        <bottom style="dotted">
          <color theme="1" tint="0.499984740745262"/>
        </bottom>
        <vertical style="thin">
          <color auto="1"/>
        </vertical>
        <horizontal style="dotted">
          <color theme="1" tint="0.499984740745262"/>
        </horizontal>
      </border>
      <protection locked="0" hidden="0"/>
    </dxf>
    <dxf>
      <font>
        <b val="0"/>
        <i val="0"/>
        <strike val="0"/>
        <condense val="0"/>
        <extend val="0"/>
        <outline val="0"/>
        <shadow val="0"/>
        <u val="none"/>
        <vertAlign val="baseline"/>
        <sz val="6"/>
        <color auto="1"/>
        <name val="Arial"/>
        <scheme val="none"/>
      </font>
      <numFmt numFmtId="164" formatCode="0.0&quot; cm&quot;"/>
      <fill>
        <patternFill patternType="none">
          <fgColor indexed="64"/>
          <bgColor auto="1"/>
        </patternFill>
      </fill>
      <alignment horizontal="left" vertical="top" textRotation="0" wrapText="1" indent="0" justifyLastLine="0" shrinkToFit="0" readingOrder="0"/>
      <border diagonalUp="0" diagonalDown="0">
        <left style="thin">
          <color auto="1"/>
        </left>
        <right style="thin">
          <color auto="1"/>
        </right>
        <top style="dotted">
          <color theme="1" tint="0.499984740745262"/>
        </top>
        <bottom style="dotted">
          <color theme="1" tint="0.499984740745262"/>
        </bottom>
        <vertical style="thin">
          <color auto="1"/>
        </vertical>
        <horizontal style="dotted">
          <color theme="1" tint="0.499984740745262"/>
        </horizontal>
      </border>
      <protection locked="0" hidden="0"/>
    </dxf>
    <dxf>
      <font>
        <b val="0"/>
        <i val="0"/>
        <strike val="0"/>
        <condense val="0"/>
        <extend val="0"/>
        <outline val="0"/>
        <shadow val="0"/>
        <u val="none"/>
        <vertAlign val="baseline"/>
        <sz val="6"/>
        <color auto="1"/>
        <name val="Arial"/>
        <scheme val="none"/>
      </font>
      <fill>
        <patternFill patternType="none">
          <fgColor indexed="64"/>
          <bgColor auto="1"/>
        </patternFill>
      </fill>
      <alignment horizontal="left" vertical="top" textRotation="0" wrapText="1" indent="0" justifyLastLine="0" shrinkToFit="0" readingOrder="0"/>
      <border diagonalUp="0" diagonalDown="0">
        <left style="thin">
          <color auto="1"/>
        </left>
        <right style="thin">
          <color auto="1"/>
        </right>
        <top style="dotted">
          <color theme="1" tint="0.499984740745262"/>
        </top>
        <bottom style="dotted">
          <color theme="1" tint="0.499984740745262"/>
        </bottom>
        <vertical style="thin">
          <color auto="1"/>
        </vertical>
        <horizontal style="dotted">
          <color theme="1" tint="0.499984740745262"/>
        </horizontal>
      </border>
      <protection locked="0" hidden="0"/>
    </dxf>
    <dxf>
      <font>
        <b val="0"/>
        <i val="0"/>
        <strike val="0"/>
        <condense val="0"/>
        <extend val="0"/>
        <outline val="0"/>
        <shadow val="0"/>
        <u val="none"/>
        <vertAlign val="baseline"/>
        <sz val="6"/>
        <color auto="1"/>
        <name val="Arial"/>
        <scheme val="none"/>
      </font>
      <numFmt numFmtId="164" formatCode="0.0&quot; cm&quot;"/>
      <fill>
        <patternFill patternType="none">
          <fgColor indexed="64"/>
          <bgColor auto="1"/>
        </patternFill>
      </fill>
      <alignment horizontal="left" vertical="top" textRotation="0" wrapText="1" indent="0" justifyLastLine="0" shrinkToFit="0" readingOrder="0"/>
      <border diagonalUp="0" diagonalDown="0">
        <left style="thin">
          <color auto="1"/>
        </left>
        <right style="thin">
          <color auto="1"/>
        </right>
        <top style="dotted">
          <color theme="1" tint="0.499984740745262"/>
        </top>
        <bottom style="dotted">
          <color theme="1" tint="0.499984740745262"/>
        </bottom>
        <vertical style="thin">
          <color auto="1"/>
        </vertical>
        <horizontal style="dotted">
          <color theme="1" tint="0.499984740745262"/>
        </horizontal>
      </border>
      <protection locked="0" hidden="0"/>
    </dxf>
    <dxf>
      <font>
        <b val="0"/>
        <i val="0"/>
        <strike val="0"/>
        <condense val="0"/>
        <extend val="0"/>
        <outline val="0"/>
        <shadow val="0"/>
        <u val="none"/>
        <vertAlign val="baseline"/>
        <sz val="6"/>
        <color auto="1"/>
        <name val="Arial"/>
        <scheme val="none"/>
      </font>
      <fill>
        <patternFill patternType="none">
          <fgColor indexed="64"/>
          <bgColor auto="1"/>
        </patternFill>
      </fill>
      <alignment horizontal="left" vertical="top" textRotation="0" wrapText="1" indent="0" justifyLastLine="0" shrinkToFit="0" readingOrder="0"/>
      <border diagonalUp="0" diagonalDown="0">
        <left style="thin">
          <color auto="1"/>
        </left>
        <right style="thin">
          <color auto="1"/>
        </right>
        <top style="dotted">
          <color theme="1" tint="0.499984740745262"/>
        </top>
        <bottom style="dotted">
          <color theme="1" tint="0.499984740745262"/>
        </bottom>
        <vertical style="thin">
          <color auto="1"/>
        </vertical>
        <horizontal style="dotted">
          <color theme="1" tint="0.499984740745262"/>
        </horizontal>
      </border>
      <protection locked="0" hidden="0"/>
    </dxf>
    <dxf>
      <font>
        <b val="0"/>
        <i val="0"/>
        <strike val="0"/>
        <condense val="0"/>
        <extend val="0"/>
        <outline val="0"/>
        <shadow val="0"/>
        <u val="none"/>
        <vertAlign val="baseline"/>
        <sz val="6"/>
        <color auto="1"/>
        <name val="Arial"/>
        <scheme val="none"/>
      </font>
      <fill>
        <patternFill patternType="none">
          <fgColor indexed="64"/>
          <bgColor auto="1"/>
        </patternFill>
      </fill>
      <alignment horizontal="left" vertical="top" textRotation="0" wrapText="0" indent="0" justifyLastLine="0" shrinkToFit="0" readingOrder="0"/>
      <border diagonalUp="0" diagonalDown="0" outline="0">
        <left style="thin">
          <color auto="1"/>
        </left>
        <right style="thin">
          <color auto="1"/>
        </right>
        <top style="dotted">
          <color theme="1" tint="0.499984740745262"/>
        </top>
        <bottom style="dotted">
          <color theme="1" tint="0.499984740745262"/>
        </bottom>
      </border>
      <protection locked="0" hidden="0"/>
    </dxf>
    <dxf>
      <font>
        <b val="0"/>
        <i val="0"/>
        <strike val="0"/>
        <condense val="0"/>
        <extend val="0"/>
        <outline val="0"/>
        <shadow val="0"/>
        <u val="none"/>
        <vertAlign val="baseline"/>
        <sz val="6"/>
        <color auto="1"/>
        <name val="Arial"/>
        <scheme val="none"/>
      </font>
      <numFmt numFmtId="165" formatCode="0.00&quot; m&quot;"/>
      <fill>
        <patternFill patternType="none">
          <fgColor indexed="64"/>
          <bgColor indexed="65"/>
        </patternFill>
      </fill>
      <alignment horizontal="left" vertical="top" textRotation="0" wrapText="1" indent="0" justifyLastLine="0" shrinkToFit="0" readingOrder="0"/>
      <border diagonalUp="0" diagonalDown="0">
        <left style="thin">
          <color auto="1"/>
        </left>
        <right style="thin">
          <color auto="1"/>
        </right>
        <top style="dotted">
          <color theme="1" tint="0.499984740745262"/>
        </top>
        <bottom style="dotted">
          <color theme="1" tint="0.499984740745262"/>
        </bottom>
        <vertical style="thin">
          <color auto="1"/>
        </vertical>
        <horizontal style="dotted">
          <color theme="1" tint="0.499984740745262"/>
        </horizontal>
      </border>
      <protection locked="0" hidden="0"/>
    </dxf>
    <dxf>
      <font>
        <b val="0"/>
        <i val="0"/>
        <strike val="0"/>
        <condense val="0"/>
        <extend val="0"/>
        <outline val="0"/>
        <shadow val="0"/>
        <u val="none"/>
        <vertAlign val="baseline"/>
        <sz val="6"/>
        <color auto="1"/>
        <name val="Arial"/>
        <scheme val="none"/>
      </font>
      <numFmt numFmtId="165" formatCode="0.00&quot; m&quot;"/>
      <fill>
        <patternFill patternType="none">
          <fgColor indexed="64"/>
          <bgColor indexed="65"/>
        </patternFill>
      </fill>
      <alignment horizontal="left" vertical="top" textRotation="0" wrapText="1" indent="0" justifyLastLine="0" shrinkToFit="0" readingOrder="0"/>
      <border diagonalUp="0" diagonalDown="0">
        <left style="thin">
          <color auto="1"/>
        </left>
        <right style="thin">
          <color auto="1"/>
        </right>
        <top style="dotted">
          <color theme="1" tint="0.499984740745262"/>
        </top>
        <bottom style="dotted">
          <color theme="1" tint="0.499984740745262"/>
        </bottom>
        <vertical style="thin">
          <color auto="1"/>
        </vertical>
        <horizontal style="dotted">
          <color theme="1" tint="0.499984740745262"/>
        </horizontal>
      </border>
      <protection locked="0" hidden="0"/>
    </dxf>
    <dxf>
      <font>
        <b val="0"/>
        <i val="0"/>
        <strike val="0"/>
        <condense val="0"/>
        <extend val="0"/>
        <outline val="0"/>
        <shadow val="0"/>
        <u val="none"/>
        <vertAlign val="baseline"/>
        <sz val="6"/>
        <color auto="1"/>
        <name val="Arial"/>
        <scheme val="none"/>
      </font>
      <fill>
        <patternFill patternType="none">
          <fgColor indexed="64"/>
          <bgColor indexed="65"/>
        </patternFill>
      </fill>
      <alignment horizontal="left" vertical="top" textRotation="0" wrapText="1" indent="0" justifyLastLine="0" shrinkToFit="0" readingOrder="0"/>
      <border diagonalUp="0" diagonalDown="0">
        <left style="thin">
          <color auto="1"/>
        </left>
        <right style="thin">
          <color auto="1"/>
        </right>
        <top style="dotted">
          <color theme="1" tint="0.499984740745262"/>
        </top>
        <bottom style="dotted">
          <color theme="1" tint="0.499984740745262"/>
        </bottom>
        <vertical style="thin">
          <color auto="1"/>
        </vertical>
        <horizontal style="dotted">
          <color theme="1" tint="0.499984740745262"/>
        </horizontal>
      </border>
      <protection locked="0" hidden="0"/>
    </dxf>
    <dxf>
      <font>
        <b val="0"/>
        <i val="0"/>
        <strike val="0"/>
        <condense val="0"/>
        <extend val="0"/>
        <outline val="0"/>
        <shadow val="0"/>
        <u val="none"/>
        <vertAlign val="baseline"/>
        <sz val="6"/>
        <color auto="1"/>
        <name val="Arial"/>
        <scheme val="none"/>
      </font>
      <fill>
        <patternFill patternType="none">
          <fgColor indexed="64"/>
          <bgColor indexed="65"/>
        </patternFill>
      </fill>
      <alignment horizontal="left" vertical="top" textRotation="0" wrapText="1" indent="0" justifyLastLine="0" shrinkToFit="0" readingOrder="0"/>
      <border diagonalUp="0" diagonalDown="0">
        <left style="thin">
          <color auto="1"/>
        </left>
        <right style="thin">
          <color auto="1"/>
        </right>
        <top style="dotted">
          <color theme="1" tint="0.499984740745262"/>
        </top>
        <bottom style="dotted">
          <color theme="1" tint="0.499984740745262"/>
        </bottom>
        <vertical style="thin">
          <color auto="1"/>
        </vertical>
        <horizontal style="dotted">
          <color theme="1" tint="0.499984740745262"/>
        </horizontal>
      </border>
      <protection locked="0" hidden="0"/>
    </dxf>
    <dxf>
      <font>
        <b val="0"/>
        <i val="0"/>
        <strike val="0"/>
        <condense val="0"/>
        <extend val="0"/>
        <outline val="0"/>
        <shadow val="0"/>
        <u val="none"/>
        <vertAlign val="baseline"/>
        <sz val="6"/>
        <color auto="1"/>
        <name val="Arial"/>
        <scheme val="none"/>
      </font>
      <fill>
        <patternFill patternType="none">
          <fgColor indexed="64"/>
          <bgColor indexed="65"/>
        </patternFill>
      </fill>
      <alignment horizontal="left" vertical="top" textRotation="0" wrapText="1" indent="0" justifyLastLine="0" shrinkToFit="0" readingOrder="0"/>
      <border diagonalUp="0" diagonalDown="0">
        <left style="thin">
          <color auto="1"/>
        </left>
        <right style="thin">
          <color auto="1"/>
        </right>
        <top style="dotted">
          <color theme="1" tint="0.499984740745262"/>
        </top>
        <bottom style="dotted">
          <color theme="1" tint="0.499984740745262"/>
        </bottom>
        <vertical style="thin">
          <color auto="1"/>
        </vertical>
        <horizontal style="dotted">
          <color theme="1" tint="0.499984740745262"/>
        </horizontal>
      </border>
      <protection locked="0" hidden="0"/>
    </dxf>
    <dxf>
      <font>
        <strike val="0"/>
        <outline val="0"/>
        <shadow val="0"/>
        <u val="none"/>
        <vertAlign val="baseline"/>
        <sz val="6"/>
        <color auto="1"/>
        <name val="Arial"/>
        <scheme val="none"/>
      </font>
      <alignment horizontal="left" vertical="top" textRotation="0" wrapText="1" indent="0" justifyLastLine="0" shrinkToFit="0" readingOrder="0"/>
      <protection locked="0" hidden="0"/>
    </dxf>
    <dxf>
      <font>
        <b/>
        <i val="0"/>
        <strike val="0"/>
        <condense val="0"/>
        <extend val="0"/>
        <outline val="0"/>
        <shadow val="0"/>
        <u val="none"/>
        <vertAlign val="baseline"/>
        <sz val="7"/>
        <color theme="0"/>
        <name val="Arial"/>
        <scheme val="none"/>
      </font>
      <fill>
        <patternFill patternType="solid">
          <fgColor indexed="64"/>
          <bgColor rgb="FFD10024"/>
        </patternFill>
      </fill>
      <alignment horizontal="center" vertical="center" textRotation="0" wrapText="1" indent="0" justifyLastLine="0" shrinkToFit="0" readingOrder="0"/>
      <protection locked="1" hidden="0"/>
    </dxf>
    <dxf>
      <font>
        <color theme="0"/>
      </font>
      <fill>
        <patternFill>
          <bgColor rgb="FFD10024"/>
        </patternFill>
      </fill>
    </dxf>
    <dxf>
      <border>
        <horizontal/>
      </border>
    </dxf>
    <dxf>
      <border>
        <top style="medium">
          <color auto="1"/>
        </top>
      </border>
    </dxf>
    <dxf>
      <font>
        <color theme="0"/>
      </font>
      <fill>
        <patternFill>
          <bgColor rgb="FFD10024"/>
        </patternFill>
      </fill>
    </dxf>
    <dxf>
      <border>
        <horizontal/>
      </border>
    </dxf>
  </dxfs>
  <tableStyles count="2" defaultTableStyle="TableStyleMedium2" defaultPivotStyle="PivotStyleLight16">
    <tableStyle name="Tabla Hilti 1" pivot="0" count="3">
      <tableStyleElement type="wholeTable" dxfId="73"/>
      <tableStyleElement type="headerRow" dxfId="72"/>
      <tableStyleElement type="totalRow" dxfId="71"/>
    </tableStyle>
    <tableStyle name="Table Style 1" pivot="0" count="2">
      <tableStyleElement type="wholeTable" dxfId="70"/>
      <tableStyleElement type="headerRow" dxfId="69"/>
    </tableStyle>
  </tableStyles>
  <colors>
    <mruColors>
      <color rgb="FFD10024"/>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32</xdr:col>
      <xdr:colOff>28575</xdr:colOff>
      <xdr:row>7</xdr:row>
      <xdr:rowOff>66675</xdr:rowOff>
    </xdr:from>
    <xdr:to>
      <xdr:col>36</xdr:col>
      <xdr:colOff>342900</xdr:colOff>
      <xdr:row>20</xdr:row>
      <xdr:rowOff>119062</xdr:rowOff>
    </xdr:to>
    <xdr:pic>
      <xdr:nvPicPr>
        <xdr:cNvPr id="22" name="21 Imagen"/>
        <xdr:cNvPicPr>
          <a:picLocks noChangeAspect="1"/>
        </xdr:cNvPicPr>
      </xdr:nvPicPr>
      <xdr:blipFill>
        <a:blip xmlns:r="http://schemas.openxmlformats.org/officeDocument/2006/relationships" r:embed="rId1"/>
        <a:stretch>
          <a:fillRect/>
        </a:stretch>
      </xdr:blipFill>
      <xdr:spPr>
        <a:xfrm>
          <a:off x="12592050" y="1362075"/>
          <a:ext cx="2333625" cy="2233612"/>
        </a:xfrm>
        <a:prstGeom prst="rect">
          <a:avLst/>
        </a:prstGeom>
      </xdr:spPr>
    </xdr:pic>
    <xdr:clientData/>
  </xdr:twoCellAnchor>
  <xdr:twoCellAnchor>
    <xdr:from>
      <xdr:col>32</xdr:col>
      <xdr:colOff>28575</xdr:colOff>
      <xdr:row>22</xdr:row>
      <xdr:rowOff>19050</xdr:rowOff>
    </xdr:from>
    <xdr:to>
      <xdr:col>36</xdr:col>
      <xdr:colOff>366647</xdr:colOff>
      <xdr:row>23</xdr:row>
      <xdr:rowOff>135829</xdr:rowOff>
    </xdr:to>
    <xdr:grpSp>
      <xdr:nvGrpSpPr>
        <xdr:cNvPr id="44" name="43 Grupo"/>
        <xdr:cNvGrpSpPr/>
      </xdr:nvGrpSpPr>
      <xdr:grpSpPr>
        <a:xfrm>
          <a:off x="17154525" y="3686175"/>
          <a:ext cx="2357372" cy="288229"/>
          <a:chOff x="12592050" y="3676650"/>
          <a:chExt cx="2357372" cy="278704"/>
        </a:xfrm>
      </xdr:grpSpPr>
      <xdr:pic>
        <xdr:nvPicPr>
          <xdr:cNvPr id="42" name="41 Imagen"/>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2592050" y="3724275"/>
            <a:ext cx="2357372" cy="162577"/>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3" name="1 Imagen" descr="\sum_{i=1}^{n} a_i = n \frac{a_1 + a_n}{2} \,"/>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935075" y="3676650"/>
            <a:ext cx="847725" cy="278704"/>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tables/table1.xml><?xml version="1.0" encoding="utf-8"?>
<table xmlns="http://schemas.openxmlformats.org/spreadsheetml/2006/main" id="1" name="Planilla_registro" displayName="Planilla_registro" ref="A9:AB48" totalsRowShown="0" headerRowDxfId="68" dataDxfId="67">
  <autoFilter ref="A9:AB48"/>
  <tableColumns count="28">
    <tableColumn id="2" name="CODIGO" dataDxfId="66"/>
    <tableColumn id="3" name="UBICACIÓN" dataDxfId="65"/>
    <tableColumn id="4" name="CERTIF." dataDxfId="64"/>
    <tableColumn id="6" name="COMENTARIOS" dataDxfId="63"/>
    <tableColumn id="7" name="REGISTRO GRÁFICO" dataDxfId="62"/>
    <tableColumn id="8" name="MATERIAL_x000a_" dataDxfId="61"/>
    <tableColumn id="9" name="TIPO_x000a_" dataDxfId="60"/>
    <tableColumn id="10" name="ESPESOR_x000a_tw" dataDxfId="59"/>
    <tableColumn id="11" name="FORMA_x000a_" dataDxfId="58"/>
    <tableColumn id="13" name="X" dataDxfId="57"/>
    <tableColumn id="14" name="Y" dataDxfId="56"/>
    <tableColumn id="12" name="η" dataDxfId="55"/>
    <tableColumn id="16" name="TIPO" dataDxfId="54"/>
    <tableColumn id="17" name="#" dataDxfId="53"/>
    <tableColumn id="18" name="USO" dataDxfId="52"/>
    <tableColumn id="19" name="a" dataDxfId="51"/>
    <tableColumn id="20" name="b" dataDxfId="50"/>
    <tableColumn id="21" name="LLENADO_x000a_%" dataDxfId="49" dataCellStyle="Percent"/>
    <tableColumn id="23" name="AS_x000a_min/max" dataDxfId="48"/>
    <tableColumn id="25" name="PRODUCTO_x000a_HILTI" dataDxfId="47"/>
    <tableColumn id="26" name=" # " dataDxfId="46"/>
    <tableColumn id="27" name="ESPESOR_x000a_ds" dataDxfId="45"/>
    <tableColumn id="15" name="Ag" dataDxfId="44">
      <calculatedColumnFormula>IF($A10="",
        "",
        IF(T10="","",
                          IF(I10="Circular",PI()*(J10^2)/4,
                          IF(I10="Rectangular", J10*K10,
                          IF(I10="Irregular",  J10*K10,
                          IF(I10="Junta delgada",  J10*K10,
                          IF(I10="Junta steeldeck",(K10+(IF(L10=0,1,IF(L10=1,2.5,IF(L10=2,Referencias!$BA$19,IF(L10=3,Referencias!$BA$34,IF(L10=4,4.5,L10)))))/100 ))*J10,
                          IF(I10="Junta irregular", L10,
                          IF(I10="Junta perimetral", J10*(K10),
                             0
)))))))))</calculatedColumnFormula>
    </tableColumn>
    <tableColumn id="24" name="Ap" dataDxfId="43">
      <calculatedColumnFormula>IF($A10="",
        "",
              IF(M10="","",
               IF(IFERROR(SEARCH("bandeja",M10),0)&gt;0,              N10*P10*Q10*R10,
               IF(IFERROR(SEARCH("tubería",M10),0)&gt;0,                N10*PI()*(P10^2)/4,
               IF(IFERROR(SEARCH("circular",M10),0)&gt;0,               N10*PI()*(P10^2)/4,
               IF(IFERROR(SEARCH("rectangular",M10),0)&gt;0,       N10*P10*Q10,
               IF(IFERROR(SEARCH("cable",M10),0)&gt;0,                   N10*PI()*(P10^2)/4,
               IF(IFERROR(SEARCH("caja",M10),0)&gt;0,                      N10*P10*Q10,
               IF( IFERROR(SEARCH("blindobarra",M10),0)&gt;0,     N10*P10*Q10,
               IF( IFERROR(SEARCH("ninguno",M10),0)&gt;0,            0,
                    P10
))))))))))</calculatedColumnFormula>
    </tableColumn>
    <tableColumn id="28" name="As_x000a_(Ag – Ap)" dataDxfId="42">
      <calculatedColumnFormula>IF(T10="","",$W10-SUMIFS($X:$X,$A:$A,$A10))</calculatedColumnFormula>
    </tableColumn>
    <tableColumn id="29" name="SUBTOTAL_x000a_(As ∙ ds)" dataDxfId="41">
      <calculatedColumnFormula>IF(T10="","",
       IF(OR($T10=Referencias!$Y$20,$T10=Referencias!$Y$21),1,
       IF(OR($T10=Referencias!$Y$18,$T10=Referencias!$Y$19),( PI()*((V10*P10)+(2*0.48*( V10*((0+(V10-1))/2) ))) )/100,
            V10*Y10
)))</calculatedColumnFormula>
    </tableColumn>
    <tableColumn id="30" name="desp_x000a_%" dataDxfId="40" dataCellStyle="Percent"/>
    <tableColumn id="31" name="CANTIDAD_x000a_ NETA" dataDxfId="39">
      <calculatedColumnFormula>IF(T10="","",Z10*U10*(1+AA10))</calculatedColumnFormula>
    </tableColumn>
  </tableColumns>
  <tableStyleInfo name="Table Style 1"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Module">
  <a:themeElements>
    <a:clrScheme name="Module">
      <a:dk1>
        <a:sysClr val="windowText" lastClr="000000"/>
      </a:dk1>
      <a:lt1>
        <a:sysClr val="window" lastClr="FFFFFF"/>
      </a:lt1>
      <a:dk2>
        <a:srgbClr val="5A6378"/>
      </a:dk2>
      <a:lt2>
        <a:srgbClr val="D4D4D6"/>
      </a:lt2>
      <a:accent1>
        <a:srgbClr val="F0AD00"/>
      </a:accent1>
      <a:accent2>
        <a:srgbClr val="60B5CC"/>
      </a:accent2>
      <a:accent3>
        <a:srgbClr val="E66C7D"/>
      </a:accent3>
      <a:accent4>
        <a:srgbClr val="6BB76D"/>
      </a:accent4>
      <a:accent5>
        <a:srgbClr val="E88651"/>
      </a:accent5>
      <a:accent6>
        <a:srgbClr val="C64847"/>
      </a:accent6>
      <a:hlink>
        <a:srgbClr val="168BBA"/>
      </a:hlink>
      <a:folHlink>
        <a:srgbClr val="680000"/>
      </a:folHlink>
    </a:clrScheme>
    <a:fontScheme name="Module">
      <a:majorFont>
        <a:latin typeface="Arial"/>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ajorFont>
      <a:minorFont>
        <a:latin typeface="Arial"/>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Modul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7500"/>
                <a:satMod val="137000"/>
              </a:schemeClr>
            </a:gs>
            <a:gs pos="55000">
              <a:schemeClr val="phClr">
                <a:shade val="69000"/>
                <a:satMod val="137000"/>
              </a:schemeClr>
            </a:gs>
            <a:gs pos="100000">
              <a:schemeClr val="phClr">
                <a:shade val="98000"/>
                <a:satMod val="137000"/>
              </a:schemeClr>
            </a:gs>
          </a:gsLst>
          <a:lin ang="16200000" scaled="0"/>
        </a:gradFill>
      </a:fillStyleLst>
      <a:lnStyleLst>
        <a:ln w="6350" cap="rnd" cmpd="sng" algn="ctr">
          <a:solidFill>
            <a:schemeClr val="phClr">
              <a:shade val="95000"/>
              <a:satMod val="105000"/>
            </a:schemeClr>
          </a:solidFill>
          <a:prstDash val="solid"/>
        </a:ln>
        <a:ln w="48000" cap="flat" cmpd="thickThin" algn="ctr">
          <a:solidFill>
            <a:schemeClr val="phClr"/>
          </a:solidFill>
          <a:prstDash val="solid"/>
        </a:ln>
        <a:ln w="48500" cap="flat" cmpd="thickThin" algn="ctr">
          <a:solidFill>
            <a:schemeClr val="phClr"/>
          </a:solidFill>
          <a:prstDash val="solid"/>
        </a:ln>
      </a:lnStyleLst>
      <a:effectStyleLst>
        <a:effectStyle>
          <a:effectLst>
            <a:outerShdw blurRad="45000" dist="25000" dir="5400000" rotWithShape="0">
              <a:srgbClr val="000000">
                <a:alpha val="38000"/>
              </a:srgbClr>
            </a:outerShdw>
          </a:effectLst>
        </a:effectStyle>
        <a:effectStyle>
          <a:effectLst>
            <a:outerShdw blurRad="39000" dist="25400" dir="5400000" rotWithShape="0">
              <a:srgbClr val="000000">
                <a:alpha val="38000"/>
              </a:srgbClr>
            </a:outerShdw>
          </a:effectLst>
        </a:effectStyle>
        <a:effectStyle>
          <a:effectLst>
            <a:outerShdw blurRad="39000" dist="25400" dir="5400000" rotWithShape="0">
              <a:srgbClr val="000000">
                <a:alpha val="38000"/>
              </a:srgbClr>
            </a:outerShdw>
          </a:effectLst>
          <a:scene3d>
            <a:camera prst="orthographicFront" fov="0">
              <a:rot lat="0" lon="0" rev="0"/>
            </a:camera>
            <a:lightRig rig="threePt" dir="t">
              <a:rot lat="0" lon="0" rev="1800000"/>
            </a:lightRig>
          </a:scene3d>
          <a:sp3d prstMaterial="matte">
            <a:bevelT h="20000"/>
          </a:sp3d>
        </a:effectStyle>
      </a:effectStyleLst>
      <a:bgFillStyleLst>
        <a:solidFill>
          <a:schemeClr val="phClr"/>
        </a:solidFill>
        <a:gradFill rotWithShape="1">
          <a:gsLst>
            <a:gs pos="0">
              <a:schemeClr val="phClr">
                <a:tint val="48000"/>
                <a:satMod val="300000"/>
              </a:schemeClr>
            </a:gs>
            <a:gs pos="12000">
              <a:schemeClr val="phClr">
                <a:tint val="48000"/>
                <a:satMod val="300000"/>
              </a:schemeClr>
            </a:gs>
            <a:gs pos="20000">
              <a:schemeClr val="phClr">
                <a:tint val="49000"/>
                <a:satMod val="300000"/>
              </a:schemeClr>
            </a:gs>
            <a:gs pos="100000">
              <a:schemeClr val="phClr">
                <a:shade val="30000"/>
              </a:schemeClr>
            </a:gs>
          </a:gsLst>
          <a:path path="circle">
            <a:fillToRect l="10000" t="-25000" r="10000" b="125000"/>
          </a:path>
        </a:gradFill>
        <a:blipFill>
          <a:blip xmlns:r="http://schemas.openxmlformats.org/officeDocument/2006/relationships" r:embed="rId1">
            <a:duotone>
              <a:schemeClr val="phClr">
                <a:shade val="75000"/>
                <a:satMod val="105000"/>
              </a:schemeClr>
              <a:schemeClr val="phClr">
                <a:tint val="95000"/>
                <a:satMod val="105000"/>
              </a:schemeClr>
            </a:duotone>
          </a:blip>
          <a:tile tx="0" ty="0" sx="38000" sy="38000" flip="none" algn="tl"/>
        </a:blipFill>
      </a:bgFillStyleLst>
    </a:fmtScheme>
  </a:themeElements>
  <a:objectDefaults/>
  <a:extraClrSchemeLst/>
  <a:custClrLst>
    <a:custClr name="Hilti Red">
      <a:srgbClr val="D10024"/>
    </a:custClr>
  </a:custClr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AN48"/>
  <sheetViews>
    <sheetView showGridLines="0" tabSelected="1" zoomScale="130" zoomScaleNormal="130" zoomScaleSheetLayoutView="130" workbookViewId="0">
      <pane xSplit="1" ySplit="9" topLeftCell="C10" activePane="bottomRight" state="frozen"/>
      <selection pane="topRight" activeCell="B1" sqref="B1"/>
      <selection pane="bottomLeft" activeCell="A10" sqref="A10"/>
      <selection pane="bottomRight" activeCell="C12" sqref="C12"/>
    </sheetView>
  </sheetViews>
  <sheetFormatPr defaultColWidth="9.140625" defaultRowHeight="9" customHeight="1" x14ac:dyDescent="0.15"/>
  <cols>
    <col min="1" max="1" width="8.5703125" style="144" customWidth="1"/>
    <col min="2" max="2" width="26.85546875" style="144" hidden="1" customWidth="1"/>
    <col min="3" max="3" width="7.85546875" style="145" customWidth="1"/>
    <col min="4" max="4" width="35.7109375" style="144" customWidth="1"/>
    <col min="5" max="5" width="19.28515625" style="144" customWidth="1"/>
    <col min="6" max="6" width="7.140625" style="200" customWidth="1"/>
    <col min="7" max="7" width="3.42578125" style="145" customWidth="1"/>
    <col min="8" max="8" width="5.7109375" style="144" customWidth="1"/>
    <col min="9" max="9" width="8.5703125" style="144" customWidth="1"/>
    <col min="10" max="10" width="7.140625" style="146" customWidth="1"/>
    <col min="11" max="12" width="7.140625" style="144" customWidth="1"/>
    <col min="13" max="13" width="14.28515625" style="144" customWidth="1"/>
    <col min="14" max="14" width="3.28515625" style="146" customWidth="1"/>
    <col min="15" max="15" width="3.5703125" style="144" customWidth="1"/>
    <col min="16" max="17" width="7.140625" style="145" customWidth="1"/>
    <col min="18" max="18" width="6" style="144" customWidth="1"/>
    <col min="19" max="19" width="8.5703125" style="147" customWidth="1"/>
    <col min="20" max="20" width="12.140625" style="144" customWidth="1"/>
    <col min="21" max="21" width="6.85546875" style="145" bestFit="1" customWidth="1"/>
    <col min="22" max="24" width="12.85546875" style="163" customWidth="1"/>
    <col min="25" max="25" width="12.85546875" style="164" customWidth="1"/>
    <col min="26" max="26" width="17.140625" style="165" customWidth="1"/>
    <col min="27" max="27" width="5" style="168" customWidth="1"/>
    <col min="28" max="28" width="17.140625" style="165" customWidth="1"/>
    <col min="29" max="29" width="12.42578125" style="144" customWidth="1"/>
    <col min="30" max="31" width="12.7109375" style="141" customWidth="1"/>
    <col min="32" max="32" width="4.7109375" style="145" customWidth="1"/>
    <col min="33" max="33" width="13.42578125" style="141" customWidth="1"/>
    <col min="34" max="34" width="9.140625" style="141" customWidth="1"/>
    <col min="35" max="16384" width="9.140625" style="141"/>
  </cols>
  <sheetData>
    <row r="1" spans="1:40" s="101" customFormat="1" ht="3.75" customHeight="1" thickBot="1" x14ac:dyDescent="0.25">
      <c r="F1" s="102"/>
      <c r="G1" s="102"/>
      <c r="H1" s="102"/>
      <c r="I1" s="102"/>
      <c r="J1" s="102"/>
      <c r="K1" s="102"/>
      <c r="L1" s="102"/>
      <c r="M1" s="102"/>
      <c r="N1" s="102"/>
      <c r="O1" s="102"/>
      <c r="P1" s="102"/>
      <c r="Q1" s="102"/>
      <c r="R1" s="102"/>
      <c r="S1" s="80"/>
      <c r="T1" s="102"/>
      <c r="U1" s="166"/>
      <c r="V1" s="156"/>
      <c r="W1" s="156"/>
      <c r="X1" s="156"/>
      <c r="Y1" s="156"/>
      <c r="Z1" s="156"/>
      <c r="AA1" s="166"/>
      <c r="AB1" s="156"/>
      <c r="AC1" s="102"/>
      <c r="AD1" s="102"/>
      <c r="AE1" s="102"/>
      <c r="AF1" s="102"/>
      <c r="AG1" s="102"/>
      <c r="AH1" s="102"/>
      <c r="AI1" s="102"/>
      <c r="AJ1" s="102"/>
      <c r="AK1" s="102"/>
      <c r="AL1" s="102"/>
      <c r="AM1" s="102"/>
      <c r="AN1" s="102"/>
    </row>
    <row r="2" spans="1:40" s="102" customFormat="1" ht="13.5" x14ac:dyDescent="0.25">
      <c r="A2" s="105" t="s">
        <v>170</v>
      </c>
      <c r="B2" s="106"/>
      <c r="C2" s="107" t="s">
        <v>171</v>
      </c>
      <c r="D2" s="106"/>
      <c r="E2" s="108" t="s">
        <v>172</v>
      </c>
      <c r="F2" s="219" t="s">
        <v>9</v>
      </c>
      <c r="G2" s="219"/>
      <c r="H2" s="219"/>
      <c r="I2" s="220"/>
      <c r="J2" s="220"/>
      <c r="K2" s="220"/>
      <c r="L2" s="220"/>
      <c r="M2" s="220"/>
      <c r="N2" s="220"/>
      <c r="O2" s="220"/>
      <c r="P2" s="220"/>
      <c r="Q2" s="220"/>
      <c r="R2" s="220"/>
      <c r="S2" s="220"/>
      <c r="U2" s="166"/>
      <c r="V2" s="156"/>
      <c r="W2" s="156"/>
      <c r="X2" s="156"/>
      <c r="Y2" s="156"/>
      <c r="Z2" s="156"/>
      <c r="AA2" s="166"/>
      <c r="AB2" s="156"/>
    </row>
    <row r="3" spans="1:40" s="102" customFormat="1" ht="12.75" customHeight="1" x14ac:dyDescent="0.2">
      <c r="A3" s="223" t="s">
        <v>176</v>
      </c>
      <c r="B3" s="223"/>
      <c r="C3" s="223" t="s">
        <v>173</v>
      </c>
      <c r="D3" s="223"/>
      <c r="E3" s="110">
        <f ca="1">TODAY()</f>
        <v>42432</v>
      </c>
      <c r="F3" s="220"/>
      <c r="G3" s="220"/>
      <c r="H3" s="220"/>
      <c r="I3" s="220"/>
      <c r="J3" s="220"/>
      <c r="K3" s="220"/>
      <c r="L3" s="220"/>
      <c r="M3" s="220"/>
      <c r="N3" s="220"/>
      <c r="O3" s="220"/>
      <c r="P3" s="220"/>
      <c r="Q3" s="220"/>
      <c r="R3" s="220"/>
      <c r="S3" s="220"/>
      <c r="U3" s="166"/>
      <c r="V3" s="156"/>
      <c r="W3" s="156"/>
      <c r="X3" s="156"/>
      <c r="Y3" s="156"/>
      <c r="Z3" s="156"/>
      <c r="AA3" s="166"/>
      <c r="AB3" s="156"/>
    </row>
    <row r="4" spans="1:40" s="102" customFormat="1" ht="13.5" customHeight="1" thickBot="1" x14ac:dyDescent="0.25">
      <c r="A4" s="222" t="s">
        <v>209</v>
      </c>
      <c r="B4" s="222"/>
      <c r="C4" s="222" t="s">
        <v>180</v>
      </c>
      <c r="D4" s="222"/>
      <c r="E4" s="111"/>
      <c r="F4" s="220"/>
      <c r="G4" s="220"/>
      <c r="H4" s="220"/>
      <c r="I4" s="220"/>
      <c r="J4" s="220"/>
      <c r="K4" s="220"/>
      <c r="L4" s="220"/>
      <c r="M4" s="220"/>
      <c r="N4" s="220"/>
      <c r="O4" s="220"/>
      <c r="P4" s="220"/>
      <c r="Q4" s="220"/>
      <c r="R4" s="220"/>
      <c r="S4" s="220"/>
      <c r="U4" s="166"/>
      <c r="V4" s="156"/>
      <c r="W4" s="156"/>
      <c r="X4" s="156"/>
      <c r="Y4" s="156"/>
      <c r="Z4" s="156"/>
      <c r="AA4" s="166"/>
      <c r="AB4" s="156"/>
    </row>
    <row r="5" spans="1:40" s="102" customFormat="1" ht="12.75" customHeight="1" x14ac:dyDescent="0.25">
      <c r="A5" s="105" t="s">
        <v>174</v>
      </c>
      <c r="B5" s="106"/>
      <c r="C5" s="106"/>
      <c r="D5" s="106"/>
      <c r="E5" s="108" t="s">
        <v>175</v>
      </c>
      <c r="F5" s="220"/>
      <c r="G5" s="220"/>
      <c r="H5" s="220"/>
      <c r="I5" s="220"/>
      <c r="J5" s="220"/>
      <c r="K5" s="220"/>
      <c r="L5" s="220"/>
      <c r="M5" s="220"/>
      <c r="N5" s="220"/>
      <c r="O5" s="220"/>
      <c r="P5" s="220"/>
      <c r="Q5" s="220"/>
      <c r="R5" s="220"/>
      <c r="S5" s="220"/>
      <c r="U5" s="166"/>
      <c r="V5" s="156"/>
      <c r="W5" s="156"/>
      <c r="X5" s="156"/>
      <c r="Y5" s="156"/>
      <c r="Z5" s="156"/>
      <c r="AA5" s="166"/>
      <c r="AB5" s="156"/>
    </row>
    <row r="6" spans="1:40" s="102" customFormat="1" ht="13.5" customHeight="1" thickBot="1" x14ac:dyDescent="0.25">
      <c r="A6" s="221" t="s">
        <v>186</v>
      </c>
      <c r="B6" s="221"/>
      <c r="C6" s="221"/>
      <c r="D6" s="221"/>
      <c r="E6" s="190" t="s">
        <v>187</v>
      </c>
      <c r="F6" s="220"/>
      <c r="G6" s="220"/>
      <c r="H6" s="220"/>
      <c r="I6" s="220"/>
      <c r="J6" s="220"/>
      <c r="K6" s="220"/>
      <c r="L6" s="220"/>
      <c r="M6" s="220"/>
      <c r="N6" s="220"/>
      <c r="O6" s="220"/>
      <c r="P6" s="220"/>
      <c r="Q6" s="220"/>
      <c r="R6" s="220"/>
      <c r="S6" s="220"/>
      <c r="U6" s="166"/>
      <c r="V6" s="156"/>
      <c r="W6" s="156"/>
      <c r="X6" s="156"/>
      <c r="Y6" s="156"/>
      <c r="Z6" s="156"/>
      <c r="AA6" s="166"/>
      <c r="AB6" s="156"/>
    </row>
    <row r="7" spans="1:40" s="102" customFormat="1" ht="7.5" customHeight="1" x14ac:dyDescent="0.2">
      <c r="A7" s="112"/>
      <c r="B7" s="112"/>
      <c r="C7" s="112"/>
      <c r="D7" s="112"/>
      <c r="E7" s="112"/>
      <c r="S7" s="80"/>
      <c r="U7" s="166"/>
      <c r="V7" s="156"/>
      <c r="W7" s="156"/>
      <c r="X7" s="156"/>
      <c r="Y7" s="156"/>
      <c r="Z7" s="156"/>
      <c r="AA7" s="166"/>
      <c r="AB7" s="156"/>
    </row>
    <row r="8" spans="1:40" s="133" customFormat="1" x14ac:dyDescent="0.2">
      <c r="F8" s="171" t="s">
        <v>62</v>
      </c>
      <c r="G8" s="172"/>
      <c r="H8" s="173"/>
      <c r="I8" s="171" t="s">
        <v>4</v>
      </c>
      <c r="J8" s="172"/>
      <c r="K8" s="172"/>
      <c r="L8" s="173"/>
      <c r="M8" s="171" t="s">
        <v>165</v>
      </c>
      <c r="N8" s="172"/>
      <c r="O8" s="172"/>
      <c r="P8" s="172"/>
      <c r="Q8" s="172"/>
      <c r="R8" s="172"/>
      <c r="S8" s="173"/>
      <c r="T8" s="172" t="s">
        <v>29</v>
      </c>
      <c r="U8" s="172"/>
      <c r="V8" s="172"/>
      <c r="W8" s="172" t="s">
        <v>198</v>
      </c>
      <c r="X8" s="172"/>
      <c r="Y8" s="172"/>
      <c r="Z8" s="172"/>
      <c r="AA8" s="172"/>
      <c r="AB8" s="173"/>
    </row>
    <row r="9" spans="1:40" s="103" customFormat="1" ht="24.75" x14ac:dyDescent="0.2">
      <c r="A9" s="134" t="s">
        <v>1</v>
      </c>
      <c r="B9" s="134" t="s">
        <v>10</v>
      </c>
      <c r="C9" s="134" t="s">
        <v>206</v>
      </c>
      <c r="D9" s="134" t="s">
        <v>6</v>
      </c>
      <c r="E9" s="134" t="s">
        <v>154</v>
      </c>
      <c r="F9" s="197" t="s">
        <v>157</v>
      </c>
      <c r="G9" s="175" t="s">
        <v>153</v>
      </c>
      <c r="H9" s="176" t="s">
        <v>179</v>
      </c>
      <c r="I9" s="174" t="s">
        <v>156</v>
      </c>
      <c r="J9" s="177" t="s">
        <v>0</v>
      </c>
      <c r="K9" s="177" t="s">
        <v>2</v>
      </c>
      <c r="L9" s="178" t="s">
        <v>210</v>
      </c>
      <c r="M9" s="174" t="s">
        <v>169</v>
      </c>
      <c r="N9" s="177" t="s">
        <v>5</v>
      </c>
      <c r="O9" s="175" t="s">
        <v>177</v>
      </c>
      <c r="P9" s="179" t="s">
        <v>194</v>
      </c>
      <c r="Q9" s="179" t="s">
        <v>195</v>
      </c>
      <c r="R9" s="180" t="s">
        <v>178</v>
      </c>
      <c r="S9" s="181" t="s">
        <v>196</v>
      </c>
      <c r="T9" s="174" t="s">
        <v>158</v>
      </c>
      <c r="U9" s="177" t="s">
        <v>203</v>
      </c>
      <c r="V9" s="180" t="s">
        <v>181</v>
      </c>
      <c r="W9" s="177" t="s">
        <v>182</v>
      </c>
      <c r="X9" s="177" t="s">
        <v>183</v>
      </c>
      <c r="Y9" s="177" t="s">
        <v>184</v>
      </c>
      <c r="Z9" s="180" t="s">
        <v>185</v>
      </c>
      <c r="AA9" s="180" t="s">
        <v>155</v>
      </c>
      <c r="AB9" s="181" t="s">
        <v>168</v>
      </c>
    </row>
    <row r="10" spans="1:40" ht="8.25" x14ac:dyDescent="0.2">
      <c r="A10" s="149" t="s">
        <v>219</v>
      </c>
      <c r="B10" s="149"/>
      <c r="C10" s="218" t="s">
        <v>242</v>
      </c>
      <c r="D10" s="150" t="s">
        <v>240</v>
      </c>
      <c r="E10" s="150"/>
      <c r="F10" s="198" t="s">
        <v>24</v>
      </c>
      <c r="G10" s="149"/>
      <c r="H10" s="151"/>
      <c r="I10" s="149" t="s">
        <v>3</v>
      </c>
      <c r="J10" s="151">
        <v>12</v>
      </c>
      <c r="K10" s="151"/>
      <c r="L10" s="151"/>
      <c r="M10" s="149" t="s">
        <v>146</v>
      </c>
      <c r="N10" s="152">
        <v>1</v>
      </c>
      <c r="O10" s="151" t="s">
        <v>61</v>
      </c>
      <c r="P10" s="151">
        <v>10</v>
      </c>
      <c r="Q10" s="151"/>
      <c r="R10" s="153"/>
      <c r="S10" s="154"/>
      <c r="T10" s="149" t="s">
        <v>43</v>
      </c>
      <c r="U10" s="169">
        <v>2</v>
      </c>
      <c r="V10" s="157">
        <v>1.6</v>
      </c>
      <c r="W10" s="158">
        <f>IF($A10="",
        "",
        IF(T10="","",
                          IF(I10="Circular",PI()*(J10^2)/4,
                          IF(I10="Rectangular", J10*K10,
                          IF(I10="Irregular",  J10*K10,
                          IF(I10="Junta delgada",  J10*K10,
                          IF(I10="Junta steeldeck",(K10+(IF(L10=0,1,IF(L10=1,2.5,IF(L10=2,Referencias!$BA$19,IF(L10=3,Referencias!$BA$34,IF(L10=4,4.5,L10)))))/100 ))*J10,
                          IF(I10="Junta irregular", L10,
                          IF(I10="Junta perimetral", J10*(K10),
                             0
)))))))))</f>
        <v>113.09733552923255</v>
      </c>
      <c r="X10" s="158">
        <f t="shared" ref="X10:X30" si="0">IF($A10="",
        "",
              IF(M10="","",
               IF(IFERROR(SEARCH("bandeja",M10),0)&gt;0,              N10*P10*Q10*R10,
               IF(IFERROR(SEARCH("tubería",M10),0)&gt;0,                N10*PI()*(P10^2)/4,
               IF(IFERROR(SEARCH("circular",M10),0)&gt;0,               N10*PI()*(P10^2)/4,
               IF(IFERROR(SEARCH("rectangular",M10),0)&gt;0,       N10*P10*Q10,
               IF(IFERROR(SEARCH("cable",M10),0)&gt;0,                   N10*PI()*(P10^2)/4,
               IF(IFERROR(SEARCH("caja",M10),0)&gt;0,                      N10*P10*Q10,
               IF( IFERROR(SEARCH("blindobarra",M10),0)&gt;0,     N10*P10*Q10,
               IF( IFERROR(SEARCH("ninguno",M10),0)&gt;0,            0,
                    P10
))))))))))</f>
        <v>78.539816339744831</v>
      </c>
      <c r="Y10" s="158">
        <f t="shared" ref="Y10:Y41" si="1">IF(T10="","",$W10-SUMIFS($X:$X,$A:$A,$A10))</f>
        <v>34.557519189487721</v>
      </c>
      <c r="Z10" s="159">
        <f>IF(T10="","",
       IF(OR($T10=Referencias!$Y$20,$T10=Referencias!$Y$21),1,
       IF(OR($T10=Referencias!$Y$18,$T10=Referencias!$Y$19),( PI()*((V10*P10)+(2*0.48*( V10*((0+(V10-1))/2) ))) )/100,
            V10*Y10
)))</f>
        <v>55.292030703180359</v>
      </c>
      <c r="AA10" s="167">
        <v>0.05</v>
      </c>
      <c r="AB10" s="159">
        <f>IF(T10="","",Z10*U10*(1+AA10))</f>
        <v>116.11326447667876</v>
      </c>
      <c r="AC10" s="141"/>
      <c r="AF10" s="141"/>
    </row>
    <row r="11" spans="1:40" ht="8.25" x14ac:dyDescent="0.2">
      <c r="A11" s="191" t="s">
        <v>219</v>
      </c>
      <c r="B11" s="191"/>
      <c r="C11" s="217" t="s">
        <v>243</v>
      </c>
      <c r="D11" s="150" t="s">
        <v>241</v>
      </c>
      <c r="E11" s="192"/>
      <c r="F11" s="199"/>
      <c r="G11" s="191"/>
      <c r="H11" s="193"/>
      <c r="I11" s="191" t="s">
        <v>3</v>
      </c>
      <c r="J11" s="193">
        <v>12</v>
      </c>
      <c r="K11" s="193"/>
      <c r="L11" s="193"/>
      <c r="M11" s="191"/>
      <c r="N11" s="194"/>
      <c r="O11" s="193"/>
      <c r="P11" s="193"/>
      <c r="Q11" s="193"/>
      <c r="R11" s="195"/>
      <c r="S11" s="196"/>
      <c r="T11" s="155" t="s">
        <v>43</v>
      </c>
      <c r="U11" s="170">
        <v>2</v>
      </c>
      <c r="V11" s="160">
        <v>3.2</v>
      </c>
      <c r="W11" s="161">
        <f>IF($A11="",
        "",
        IF(T11="","",
                          IF(I11="Circular",PI()*(J11^2)/4,
                          IF(I11="Rectangular", J11*K11,
                          IF(I11="Irregular",  J11*K11,
                          IF(I11="Junta delgada",  J11*K11,
                          IF(I11="Junta steeldeck",(K11+(IF(L11=0,1,IF(L11=1,2.5,IF(L11=2,Referencias!$BA$19,IF(L11=3,Referencias!$BA$34,IF(L11=4,4.5,L11)))))/100 ))*J11,
                          IF(I11="Junta irregular", L11,
                          IF(I11="Junta perimetral", J11*(K11),
                             0
)))))))))</f>
        <v>113.09733552923255</v>
      </c>
      <c r="X11" s="161" t="str">
        <f t="shared" si="0"/>
        <v/>
      </c>
      <c r="Y11" s="161">
        <f t="shared" si="1"/>
        <v>34.557519189487721</v>
      </c>
      <c r="Z11" s="162">
        <f>IF(T11="","",
       IF(OR($T11=Referencias!$Y$20,$T11=Referencias!$Y$21),1,
       IF(OR($T11=Referencias!$Y$18,$T11=Referencias!$Y$19),( PI()*((V11*P11)+(2*0.48*( V11*((0+(V11-1))/2) ))) )/100,
            V11*Y11
)))</f>
        <v>110.58406140636072</v>
      </c>
      <c r="AA11" s="167">
        <v>0.05</v>
      </c>
      <c r="AB11" s="162">
        <f t="shared" ref="AB11:AB30" si="2">IF(T11="","",Z11*U11*(1+AA11))</f>
        <v>232.22652895335753</v>
      </c>
      <c r="AC11" s="141"/>
      <c r="AF11" s="141"/>
    </row>
    <row r="12" spans="1:40" ht="8.25" x14ac:dyDescent="0.2">
      <c r="A12" s="191" t="s">
        <v>220</v>
      </c>
      <c r="B12" s="191"/>
      <c r="C12" s="217" t="s">
        <v>245</v>
      </c>
      <c r="D12" s="150" t="s">
        <v>244</v>
      </c>
      <c r="E12" s="192"/>
      <c r="F12" s="199" t="s">
        <v>24</v>
      </c>
      <c r="G12" s="191"/>
      <c r="H12" s="193"/>
      <c r="I12" s="191" t="s">
        <v>3</v>
      </c>
      <c r="J12" s="193">
        <v>12</v>
      </c>
      <c r="K12" s="193"/>
      <c r="L12" s="193"/>
      <c r="M12" s="191" t="s">
        <v>147</v>
      </c>
      <c r="N12" s="194">
        <v>1</v>
      </c>
      <c r="O12" s="193" t="s">
        <v>61</v>
      </c>
      <c r="P12" s="193">
        <v>10</v>
      </c>
      <c r="Q12" s="193"/>
      <c r="R12" s="195"/>
      <c r="S12" s="196"/>
      <c r="T12" s="155" t="s">
        <v>49</v>
      </c>
      <c r="U12" s="170">
        <v>2</v>
      </c>
      <c r="V12" s="160">
        <v>3</v>
      </c>
      <c r="W12" s="161">
        <f>IF($A12="",
        "",
        IF(T12="","",
                          IF(I12="Circular",PI()*(J12^2)/4,
                          IF(I12="Rectangular", J12*K12,
                          IF(I12="Irregular",  J12*K12,
                          IF(I12="Junta delgada",  J12*K12,
                          IF(I12="Junta steeldeck",(K12+(IF(L12=0,1,IF(L12=1,2.5,IF(L12=2,Referencias!$BA$19,IF(L12=3,Referencias!$BA$34,IF(L12=4,4.5,L12)))))/100 ))*J12,
                          IF(I12="Junta irregular", L12,
                          IF(I12="Junta perimetral", J12*(K12),
                             0
)))))))))</f>
        <v>113.09733552923255</v>
      </c>
      <c r="X12" s="161">
        <f t="shared" si="0"/>
        <v>78.539816339744831</v>
      </c>
      <c r="Y12" s="161">
        <f t="shared" si="1"/>
        <v>34.557519189487721</v>
      </c>
      <c r="Z12" s="162">
        <f>IF(T12="","",
       IF(OR($T12=Referencias!$Y$20,$T12=Referencias!$Y$21),1,
       IF(OR($T12=Referencias!$Y$18,$T12=Referencias!$Y$19),( PI()*((V12*P12)+(2*0.48*( V12*((0+(V12-1))/2) ))) )/100,
            V12*Y12
)))</f>
        <v>1.0329556645003242</v>
      </c>
      <c r="AA12" s="167">
        <v>0.05</v>
      </c>
      <c r="AB12" s="162">
        <f t="shared" si="2"/>
        <v>2.1692068954506807</v>
      </c>
      <c r="AC12" s="141"/>
      <c r="AF12" s="141"/>
    </row>
    <row r="13" spans="1:40" ht="8.25" x14ac:dyDescent="0.2">
      <c r="A13" s="191" t="s">
        <v>220</v>
      </c>
      <c r="B13" s="191"/>
      <c r="C13" s="217"/>
      <c r="D13" s="150"/>
      <c r="E13" s="192"/>
      <c r="F13" s="199"/>
      <c r="G13" s="191"/>
      <c r="H13" s="193"/>
      <c r="I13" s="191" t="s">
        <v>3</v>
      </c>
      <c r="J13" s="193">
        <v>12</v>
      </c>
      <c r="K13" s="193"/>
      <c r="L13" s="193"/>
      <c r="M13" s="191"/>
      <c r="N13" s="194"/>
      <c r="O13" s="193"/>
      <c r="P13" s="193"/>
      <c r="Q13" s="193"/>
      <c r="R13" s="195"/>
      <c r="S13" s="196"/>
      <c r="T13" s="155" t="s">
        <v>197</v>
      </c>
      <c r="U13" s="170">
        <v>1</v>
      </c>
      <c r="V13" s="160">
        <v>0.1</v>
      </c>
      <c r="W13" s="161">
        <f>IF($A13="",
        "",
        IF(T13="","",
                          IF(I13="Circular",PI()*(J13^2)/4,
                          IF(I13="Rectangular", J13*K13,
                          IF(I13="Irregular",  J13*K13,
                          IF(I13="Junta delgada",  J13*K13,
                          IF(I13="Junta steeldeck",(K13+(IF(L13=0,1,IF(L13=1,2.5,IF(L13=2,Referencias!$BA$19,IF(L13=3,Referencias!$BA$34,IF(L13=4,4.5,L13)))))/100 ))*J13,
                          IF(I13="Junta irregular", L13,
                          IF(I13="Junta perimetral", J13*(K13),
                             0
)))))))))</f>
        <v>113.09733552923255</v>
      </c>
      <c r="X13" s="161" t="str">
        <f t="shared" si="0"/>
        <v/>
      </c>
      <c r="Y13" s="161">
        <f t="shared" si="1"/>
        <v>34.557519189487721</v>
      </c>
      <c r="Z13" s="162">
        <f>IF(T13="","",
       IF(OR($T13=Referencias!$Y$20,$T13=Referencias!$Y$21),1,
       IF(OR($T13=Referencias!$Y$18,$T13=Referencias!$Y$19),( PI()*((V13*P13)+(2*0.48*( V13*((0+(V13-1))/2) ))) )/100,
            V13*Y13
)))</f>
        <v>3.4557519189487724</v>
      </c>
      <c r="AA13" s="167">
        <v>0.05</v>
      </c>
      <c r="AB13" s="162">
        <f t="shared" si="2"/>
        <v>3.6285395148962114</v>
      </c>
      <c r="AC13" s="141"/>
      <c r="AF13" s="141"/>
    </row>
    <row r="14" spans="1:40" ht="9" customHeight="1" x14ac:dyDescent="0.2">
      <c r="A14" s="191" t="s">
        <v>221</v>
      </c>
      <c r="B14" s="191"/>
      <c r="C14" s="217" t="s">
        <v>237</v>
      </c>
      <c r="D14" s="192" t="s">
        <v>217</v>
      </c>
      <c r="E14" s="192"/>
      <c r="F14" s="199" t="s">
        <v>24</v>
      </c>
      <c r="G14" s="191"/>
      <c r="H14" s="193"/>
      <c r="I14" s="191" t="s">
        <v>8</v>
      </c>
      <c r="J14" s="193">
        <v>32</v>
      </c>
      <c r="K14" s="193">
        <v>12</v>
      </c>
      <c r="L14" s="193"/>
      <c r="M14" s="191" t="s">
        <v>148</v>
      </c>
      <c r="N14" s="194">
        <v>1</v>
      </c>
      <c r="O14" s="193" t="s">
        <v>61</v>
      </c>
      <c r="P14" s="193">
        <v>30</v>
      </c>
      <c r="Q14" s="193">
        <v>10</v>
      </c>
      <c r="R14" s="195">
        <v>0.65</v>
      </c>
      <c r="S14" s="196"/>
      <c r="T14" s="155" t="s">
        <v>197</v>
      </c>
      <c r="U14" s="170">
        <v>2</v>
      </c>
      <c r="V14" s="160">
        <v>1.5</v>
      </c>
      <c r="W14" s="161">
        <f>IF($A14="",
        "",
        IF(T14="","",
                          IF(I14="Circular",PI()*(J14^2)/4,
                          IF(I14="Rectangular", J14*K14,
                          IF(I14="Irregular",  J14*K14,
                          IF(I14="Junta delgada",  J14*K14,
                          IF(I14="Junta steeldeck",(K14+(IF(L14=0,1,IF(L14=1,2.5,IF(L14=2,Referencias!$BA$19,IF(L14=3,Referencias!$BA$34,IF(L14=4,4.5,L14)))))/100 ))*J14,
                          IF(I14="Junta irregular", L14,
                          IF(I14="Junta perimetral", J14*(K14),
                             0
)))))))))</f>
        <v>384</v>
      </c>
      <c r="X14" s="161">
        <f t="shared" si="0"/>
        <v>195</v>
      </c>
      <c r="Y14" s="161">
        <f t="shared" si="1"/>
        <v>189</v>
      </c>
      <c r="Z14" s="162">
        <f>IF(T14="","",
       IF(OR($T14=Referencias!$Y$20,$T14=Referencias!$Y$21),1,
       IF(OR($T14=Referencias!$Y$18,$T14=Referencias!$Y$19),( PI()*((V14*P14)+(2*0.48*( V14*((0+(V14-1))/2) ))) )/100,
            V14*Y14
)))</f>
        <v>283.5</v>
      </c>
      <c r="AA14" s="167">
        <v>0.05</v>
      </c>
      <c r="AB14" s="162">
        <f t="shared" si="2"/>
        <v>595.35</v>
      </c>
      <c r="AC14" s="142"/>
      <c r="AD14" s="142"/>
      <c r="AE14" s="142"/>
      <c r="AF14" s="142"/>
      <c r="AG14" s="142"/>
      <c r="AH14" s="143"/>
      <c r="AI14" s="143"/>
    </row>
    <row r="15" spans="1:40" ht="9" customHeight="1" x14ac:dyDescent="0.2">
      <c r="A15" s="191" t="s">
        <v>221</v>
      </c>
      <c r="B15" s="191"/>
      <c r="C15" s="217"/>
      <c r="D15" s="192"/>
      <c r="E15" s="192"/>
      <c r="F15" s="199"/>
      <c r="G15" s="191"/>
      <c r="H15" s="193"/>
      <c r="I15" s="191" t="s">
        <v>8</v>
      </c>
      <c r="J15" s="193">
        <v>32</v>
      </c>
      <c r="K15" s="193">
        <v>12</v>
      </c>
      <c r="L15" s="193"/>
      <c r="M15" s="191"/>
      <c r="N15" s="194"/>
      <c r="O15" s="193"/>
      <c r="P15" s="193"/>
      <c r="Q15" s="193"/>
      <c r="R15" s="195"/>
      <c r="S15" s="196"/>
      <c r="T15" s="155" t="s">
        <v>216</v>
      </c>
      <c r="U15" s="170">
        <v>1</v>
      </c>
      <c r="V15" s="160">
        <v>13</v>
      </c>
      <c r="W15" s="161">
        <f>IF($A15="",
        "",
        IF(T15="","",
                          IF(I15="Circular",PI()*(J15^2)/4,
                          IF(I15="Rectangular", J15*K15,
                          IF(I15="Irregular",  J15*K15,
                          IF(I15="Junta delgada",  J15*K15,
                          IF(I15="Junta steeldeck",(K15+(IF(L15=0,1,IF(L15=1,2.5,IF(L15=2,Referencias!$BA$19,IF(L15=3,Referencias!$BA$34,IF(L15=4,4.5,L15)))))/100 ))*J15,
                          IF(I15="Junta irregular", L15,
                          IF(I15="Junta perimetral", J15*(K15),
                             0
)))))))))</f>
        <v>384</v>
      </c>
      <c r="X15" s="161" t="str">
        <f t="shared" si="0"/>
        <v/>
      </c>
      <c r="Y15" s="161">
        <f t="shared" si="1"/>
        <v>189</v>
      </c>
      <c r="Z15" s="162">
        <f>IF(T15="","",
       IF(OR($T15=Referencias!$Y$20,$T15=Referencias!$Y$21),1,
       IF(OR($T15=Referencias!$Y$18,$T15=Referencias!$Y$19),( PI()*((V15*P15)+(2*0.48*( V15*((0+(V15-1))/2) ))) )/100,
            V15*Y15
)))</f>
        <v>2457</v>
      </c>
      <c r="AA15" s="167">
        <v>0.05</v>
      </c>
      <c r="AB15" s="162">
        <f t="shared" si="2"/>
        <v>2579.85</v>
      </c>
      <c r="AC15" s="141"/>
      <c r="AF15" s="141"/>
    </row>
    <row r="16" spans="1:40" ht="8.25" x14ac:dyDescent="0.2">
      <c r="A16" s="191" t="s">
        <v>222</v>
      </c>
      <c r="B16" s="191"/>
      <c r="C16" s="217" t="s">
        <v>238</v>
      </c>
      <c r="D16" s="192" t="s">
        <v>218</v>
      </c>
      <c r="E16" s="192"/>
      <c r="F16" s="199" t="s">
        <v>24</v>
      </c>
      <c r="G16" s="191"/>
      <c r="H16" s="193"/>
      <c r="I16" s="191" t="s">
        <v>106</v>
      </c>
      <c r="J16" s="193">
        <v>100</v>
      </c>
      <c r="K16" s="193">
        <v>1</v>
      </c>
      <c r="L16" s="193"/>
      <c r="M16" s="191"/>
      <c r="N16" s="194"/>
      <c r="O16" s="193"/>
      <c r="P16" s="193"/>
      <c r="Q16" s="193"/>
      <c r="R16" s="195"/>
      <c r="S16" s="196"/>
      <c r="T16" s="155" t="s">
        <v>43</v>
      </c>
      <c r="U16" s="170">
        <v>2</v>
      </c>
      <c r="V16" s="160">
        <v>3.2</v>
      </c>
      <c r="W16" s="161">
        <f>IF($A16="",
        "",
        IF(T16="","",
                          IF(I16="Circular",PI()*(J16^2)/4,
                          IF(I16="Rectangular", J16*K16,
                          IF(I16="Irregular",  J16*K16,
                          IF(I16="Junta delgada",  J16*K16,
                          IF(I16="Junta steeldeck",(K16+(IF(L16=0,1,IF(L16=1,2.5,IF(L16=2,Referencias!$BA$19,IF(L16=3,Referencias!$BA$34,IF(L16=4,4.5,L16)))))/100 ))*J16,
                          IF(I16="Junta irregular", L16,
                          IF(I16="Junta perimetral", J16*(K16),
                             0
)))))))))</f>
        <v>100</v>
      </c>
      <c r="X16" s="161" t="str">
        <f t="shared" si="0"/>
        <v/>
      </c>
      <c r="Y16" s="161">
        <f t="shared" si="1"/>
        <v>100</v>
      </c>
      <c r="Z16" s="162">
        <f>IF(T16="","",
       IF(OR($T16=Referencias!$Y$20,$T16=Referencias!$Y$21),1,
       IF(OR($T16=Referencias!$Y$18,$T16=Referencias!$Y$19),( PI()*((V16*P16)+(2*0.48*( V16*((0+(V16-1))/2) ))) )/100,
            V16*Y16
)))</f>
        <v>320</v>
      </c>
      <c r="AA16" s="167">
        <v>0.05</v>
      </c>
      <c r="AB16" s="162">
        <f t="shared" si="2"/>
        <v>672</v>
      </c>
      <c r="AC16" s="141"/>
      <c r="AF16" s="141"/>
    </row>
    <row r="17" spans="1:32" ht="8.25" x14ac:dyDescent="0.2">
      <c r="A17" s="191" t="s">
        <v>222</v>
      </c>
      <c r="B17" s="191"/>
      <c r="C17" s="217" t="s">
        <v>239</v>
      </c>
      <c r="D17" s="192"/>
      <c r="E17" s="192"/>
      <c r="F17" s="199"/>
      <c r="G17" s="191"/>
      <c r="H17" s="193"/>
      <c r="I17" s="191"/>
      <c r="J17" s="193"/>
      <c r="K17" s="193"/>
      <c r="L17" s="193"/>
      <c r="M17" s="191"/>
      <c r="N17" s="194"/>
      <c r="O17" s="193"/>
      <c r="P17" s="193"/>
      <c r="Q17" s="193"/>
      <c r="R17" s="195"/>
      <c r="S17" s="196"/>
      <c r="T17" s="155"/>
      <c r="U17" s="170"/>
      <c r="V17" s="160"/>
      <c r="W17" s="161" t="str">
        <f>IF($A17="",
        "",
        IF(T17="","",
                          IF(I17="Circular",PI()*(J17^2)/4,
                          IF(I17="Rectangular", J17*K17,
                          IF(I17="Irregular",  J17*K17,
                          IF(I17="Junta delgada",  J17*K17,
                          IF(I17="Junta steeldeck",(K17+(IF(L17=0,1,IF(L17=1,2.5,IF(L17=2,Referencias!$BA$19,IF(L17=3,Referencias!$BA$34,IF(L17=4,4.5,L17)))))/100 ))*J17,
                          IF(I17="Junta irregular", L17,
                          IF(I17="Junta perimetral", J17*(K17),
                             0
)))))))))</f>
        <v/>
      </c>
      <c r="X17" s="161" t="str">
        <f t="shared" si="0"/>
        <v/>
      </c>
      <c r="Y17" s="161" t="str">
        <f t="shared" si="1"/>
        <v/>
      </c>
      <c r="Z17" s="162" t="str">
        <f>IF(T17="","",
       IF(OR($T17=Referencias!$Y$20,$T17=Referencias!$Y$21),1,
       IF(OR($T17=Referencias!$Y$18,$T17=Referencias!$Y$19),( PI()*((V17*P17)+(2*0.48*( V17*((0+(V17-1))/2) ))) )/100,
            V17*Y17
)))</f>
        <v/>
      </c>
      <c r="AA17" s="167">
        <v>0.05</v>
      </c>
      <c r="AB17" s="162" t="str">
        <f t="shared" si="2"/>
        <v/>
      </c>
      <c r="AC17" s="141"/>
      <c r="AF17" s="141"/>
    </row>
    <row r="18" spans="1:32" ht="8.25" x14ac:dyDescent="0.2">
      <c r="A18" s="191" t="s">
        <v>223</v>
      </c>
      <c r="B18" s="191"/>
      <c r="C18" s="191"/>
      <c r="D18" s="192"/>
      <c r="E18" s="192"/>
      <c r="F18" s="199"/>
      <c r="G18" s="191"/>
      <c r="H18" s="193"/>
      <c r="I18" s="191"/>
      <c r="J18" s="193"/>
      <c r="K18" s="193"/>
      <c r="L18" s="193"/>
      <c r="M18" s="191"/>
      <c r="N18" s="194"/>
      <c r="O18" s="193"/>
      <c r="P18" s="193"/>
      <c r="Q18" s="193"/>
      <c r="R18" s="195"/>
      <c r="S18" s="196"/>
      <c r="T18" s="155"/>
      <c r="U18" s="170"/>
      <c r="V18" s="160"/>
      <c r="W18" s="161" t="str">
        <f>IF($A18="",
        "",
        IF(T18="","",
                          IF(I18="Circular",PI()*(J18^2)/4,
                          IF(I18="Rectangular", J18*K18,
                          IF(I18="Irregular",  J18*K18,
                          IF(I18="Junta delgada",  J18*K18,
                          IF(I18="Junta steeldeck",(K18+(IF(L18=0,1,IF(L18=1,2.5,IF(L18=2,Referencias!$BA$19,IF(L18=3,Referencias!$BA$34,IF(L18=4,4.5,L18)))))/100 ))*J18,
                          IF(I18="Junta irregular", L18,
                          IF(I18="Junta perimetral", J18*(K18),
                             0
)))))))))</f>
        <v/>
      </c>
      <c r="X18" s="161" t="str">
        <f t="shared" si="0"/>
        <v/>
      </c>
      <c r="Y18" s="161" t="str">
        <f t="shared" si="1"/>
        <v/>
      </c>
      <c r="Z18" s="162" t="str">
        <f>IF(T18="","",
       IF(OR($T18=Referencias!$Y$20,$T18=Referencias!$Y$21),1,
       IF(OR($T18=Referencias!$Y$18,$T18=Referencias!$Y$19),( PI()*((V18*P18)+(2*0.48*( V18*((0+(V18-1))/2) ))) )/100,
            V18*Y18
)))</f>
        <v/>
      </c>
      <c r="AA18" s="167"/>
      <c r="AB18" s="162" t="str">
        <f t="shared" si="2"/>
        <v/>
      </c>
      <c r="AC18" s="141"/>
      <c r="AF18" s="141"/>
    </row>
    <row r="19" spans="1:32" ht="8.25" x14ac:dyDescent="0.2">
      <c r="A19" s="191" t="s">
        <v>223</v>
      </c>
      <c r="B19" s="191"/>
      <c r="C19" s="191"/>
      <c r="D19" s="192"/>
      <c r="E19" s="192"/>
      <c r="F19" s="199"/>
      <c r="G19" s="191"/>
      <c r="H19" s="193"/>
      <c r="I19" s="191"/>
      <c r="J19" s="193"/>
      <c r="K19" s="193"/>
      <c r="L19" s="193"/>
      <c r="M19" s="191"/>
      <c r="N19" s="194"/>
      <c r="O19" s="193"/>
      <c r="P19" s="193"/>
      <c r="Q19" s="193"/>
      <c r="R19" s="195"/>
      <c r="S19" s="196"/>
      <c r="T19" s="155"/>
      <c r="U19" s="170"/>
      <c r="V19" s="160"/>
      <c r="W19" s="161" t="str">
        <f>IF($A19="",
        "",
        IF(T19="","",
                          IF(I19="Circular",PI()*(J19^2)/4,
                          IF(I19="Rectangular", J19*K19,
                          IF(I19="Irregular",  J19*K19,
                          IF(I19="Junta delgada",  J19*K19,
                          IF(I19="Junta steeldeck",(K19+(IF(L19=0,1,IF(L19=1,2.5,IF(L19=2,Referencias!$BA$19,IF(L19=3,Referencias!$BA$34,IF(L19=4,4.5,L19)))))/100 ))*J19,
                          IF(I19="Junta irregular", L19,
                          IF(I19="Junta perimetral", J19*(K19),
                             0
)))))))))</f>
        <v/>
      </c>
      <c r="X19" s="161" t="str">
        <f t="shared" si="0"/>
        <v/>
      </c>
      <c r="Y19" s="161" t="str">
        <f t="shared" si="1"/>
        <v/>
      </c>
      <c r="Z19" s="162" t="str">
        <f>IF(T19="","",
       IF(OR($T19=Referencias!$Y$20,$T19=Referencias!$Y$21),1,
       IF(OR($T19=Referencias!$Y$18,$T19=Referencias!$Y$19),( PI()*((V19*P19)+(2*0.48*( V19*((0+(V19-1))/2) ))) )/100,
            V19*Y19
)))</f>
        <v/>
      </c>
      <c r="AA19" s="167"/>
      <c r="AB19" s="162" t="str">
        <f t="shared" si="2"/>
        <v/>
      </c>
      <c r="AC19" s="141"/>
      <c r="AF19" s="141"/>
    </row>
    <row r="20" spans="1:32" ht="8.25" x14ac:dyDescent="0.2">
      <c r="A20" s="191" t="s">
        <v>224</v>
      </c>
      <c r="B20" s="191"/>
      <c r="C20" s="191"/>
      <c r="D20" s="192"/>
      <c r="E20" s="192"/>
      <c r="F20" s="199"/>
      <c r="G20" s="191"/>
      <c r="H20" s="193"/>
      <c r="I20" s="191"/>
      <c r="J20" s="193"/>
      <c r="K20" s="193"/>
      <c r="L20" s="193"/>
      <c r="M20" s="191"/>
      <c r="N20" s="194"/>
      <c r="O20" s="193"/>
      <c r="P20" s="193"/>
      <c r="Q20" s="193"/>
      <c r="R20" s="195"/>
      <c r="S20" s="196"/>
      <c r="T20" s="155"/>
      <c r="U20" s="170"/>
      <c r="V20" s="160"/>
      <c r="W20" s="161" t="str">
        <f>IF($A20="",
        "",
        IF(T20="","",
                          IF(I20="Circular",PI()*(J20^2)/4,
                          IF(I20="Rectangular", J20*K20,
                          IF(I20="Irregular",  J20*K20,
                          IF(I20="Junta delgada",  J20*K20,
                          IF(I20="Junta steeldeck",(K20+(IF(L20=0,1,IF(L20=1,2.5,IF(L20=2,Referencias!$BA$19,IF(L20=3,Referencias!$BA$34,IF(L20=4,4.5,L20)))))/100 ))*J20,
                          IF(I20="Junta irregular", L20,
                          IF(I20="Junta perimetral", J20*(K20),
                             0
)))))))))</f>
        <v/>
      </c>
      <c r="X20" s="161" t="str">
        <f t="shared" si="0"/>
        <v/>
      </c>
      <c r="Y20" s="161" t="str">
        <f t="shared" si="1"/>
        <v/>
      </c>
      <c r="Z20" s="162" t="str">
        <f>IF(T20="","",
       IF(OR($T20=Referencias!$Y$20,$T20=Referencias!$Y$21),1,
       IF(OR($T20=Referencias!$Y$18,$T20=Referencias!$Y$19),( PI()*((V20*P20)+(2*0.48*( V20*((0+(V20-1))/2) ))) )/100,
            V20*Y20
)))</f>
        <v/>
      </c>
      <c r="AA20" s="167"/>
      <c r="AB20" s="162" t="str">
        <f t="shared" si="2"/>
        <v/>
      </c>
      <c r="AC20" s="141"/>
      <c r="AF20" s="141"/>
    </row>
    <row r="21" spans="1:32" ht="8.25" x14ac:dyDescent="0.2">
      <c r="A21" s="191" t="s">
        <v>224</v>
      </c>
      <c r="B21" s="191"/>
      <c r="C21" s="191"/>
      <c r="D21" s="192"/>
      <c r="E21" s="192"/>
      <c r="F21" s="199"/>
      <c r="G21" s="191"/>
      <c r="H21" s="193"/>
      <c r="I21" s="191"/>
      <c r="J21" s="193"/>
      <c r="K21" s="193"/>
      <c r="L21" s="193"/>
      <c r="M21" s="191"/>
      <c r="N21" s="194"/>
      <c r="O21" s="193"/>
      <c r="P21" s="193"/>
      <c r="Q21" s="193"/>
      <c r="R21" s="195"/>
      <c r="S21" s="196"/>
      <c r="T21" s="155"/>
      <c r="U21" s="170"/>
      <c r="V21" s="160"/>
      <c r="W21" s="161" t="str">
        <f>IF($A21="",
        "",
        IF(T21="","",
                          IF(I21="Circular",PI()*(J21^2)/4,
                          IF(I21="Rectangular", J21*K21,
                          IF(I21="Irregular",  J21*K21,
                          IF(I21="Junta delgada",  J21*K21,
                          IF(I21="Junta steeldeck",(K21+(IF(L21=0,1,IF(L21=1,2.5,IF(L21=2,Referencias!$BA$19,IF(L21=3,Referencias!$BA$34,IF(L21=4,4.5,L21)))))/100 ))*J21,
                          IF(I21="Junta irregular", L21,
                          IF(I21="Junta perimetral", J21*(K21),
                             0
)))))))))</f>
        <v/>
      </c>
      <c r="X21" s="161" t="str">
        <f t="shared" si="0"/>
        <v/>
      </c>
      <c r="Y21" s="161" t="str">
        <f t="shared" si="1"/>
        <v/>
      </c>
      <c r="Z21" s="162" t="str">
        <f>IF(T21="","",
       IF(OR($T21=Referencias!$Y$20,$T21=Referencias!$Y$21),1,
       IF(OR($T21=Referencias!$Y$18,$T21=Referencias!$Y$19),( PI()*((V21*P21)+(2*0.48*( V21*((0+(V21-1))/2) ))) )/100,
            V21*Y21
)))</f>
        <v/>
      </c>
      <c r="AA21" s="167"/>
      <c r="AB21" s="162" t="str">
        <f t="shared" si="2"/>
        <v/>
      </c>
      <c r="AC21" s="141"/>
      <c r="AF21" s="141"/>
    </row>
    <row r="22" spans="1:32" ht="8.25" x14ac:dyDescent="0.2">
      <c r="A22" s="191" t="s">
        <v>225</v>
      </c>
      <c r="B22" s="191"/>
      <c r="C22" s="191"/>
      <c r="D22" s="192"/>
      <c r="E22" s="192"/>
      <c r="F22" s="199"/>
      <c r="G22" s="191"/>
      <c r="H22" s="193"/>
      <c r="I22" s="191"/>
      <c r="J22" s="193"/>
      <c r="K22" s="193"/>
      <c r="L22" s="193"/>
      <c r="M22" s="191"/>
      <c r="N22" s="194"/>
      <c r="O22" s="193"/>
      <c r="P22" s="193"/>
      <c r="Q22" s="193"/>
      <c r="R22" s="195"/>
      <c r="S22" s="196"/>
      <c r="T22" s="155"/>
      <c r="U22" s="170"/>
      <c r="V22" s="160"/>
      <c r="W22" s="161" t="str">
        <f>IF($A22="",
        "",
        IF(T22="","",
                          IF(I22="Circular",PI()*(J22^2)/4,
                          IF(I22="Rectangular", J22*K22,
                          IF(I22="Irregular",  J22*K22,
                          IF(I22="Junta delgada",  J22*K22,
                          IF(I22="Junta steeldeck",(K22+(IF(L22=0,1,IF(L22=1,2.5,IF(L22=2,Referencias!$BA$19,IF(L22=3,Referencias!$BA$34,IF(L22=4,4.5,L22)))))/100 ))*J22,
                          IF(I22="Junta irregular", L22,
                          IF(I22="Junta perimetral", J22*(K22),
                             0
)))))))))</f>
        <v/>
      </c>
      <c r="X22" s="161" t="str">
        <f t="shared" si="0"/>
        <v/>
      </c>
      <c r="Y22" s="161" t="str">
        <f t="shared" si="1"/>
        <v/>
      </c>
      <c r="Z22" s="162" t="str">
        <f>IF(T22="","",
       IF(OR($T22=Referencias!$Y$20,$T22=Referencias!$Y$21),1,
       IF(OR($T22=Referencias!$Y$18,$T22=Referencias!$Y$19),( PI()*((V22*P22)+(2*0.48*( V22*((0+(V22-1))/2) ))) )/100,
            V22*Y22
)))</f>
        <v/>
      </c>
      <c r="AA22" s="167"/>
      <c r="AB22" s="162" t="str">
        <f t="shared" si="2"/>
        <v/>
      </c>
      <c r="AC22" s="141"/>
      <c r="AF22" s="141"/>
    </row>
    <row r="23" spans="1:32" ht="8.25" x14ac:dyDescent="0.2">
      <c r="A23" s="191" t="s">
        <v>225</v>
      </c>
      <c r="B23" s="191"/>
      <c r="C23" s="191"/>
      <c r="D23" s="192"/>
      <c r="E23" s="192"/>
      <c r="F23" s="199"/>
      <c r="G23" s="191"/>
      <c r="H23" s="193"/>
      <c r="I23" s="191"/>
      <c r="J23" s="193"/>
      <c r="K23" s="193"/>
      <c r="L23" s="193"/>
      <c r="M23" s="191"/>
      <c r="N23" s="194"/>
      <c r="O23" s="193"/>
      <c r="P23" s="193"/>
      <c r="Q23" s="193"/>
      <c r="R23" s="195"/>
      <c r="S23" s="196"/>
      <c r="T23" s="155"/>
      <c r="U23" s="170"/>
      <c r="V23" s="160"/>
      <c r="W23" s="161" t="str">
        <f>IF($A23="",
        "",
        IF(T23="","",
                          IF(I23="Circular",PI()*(J23^2)/4,
                          IF(I23="Rectangular", J23*K23,
                          IF(I23="Irregular",  J23*K23,
                          IF(I23="Junta delgada",  J23*K23,
                          IF(I23="Junta steeldeck",(K23+(IF(L23=0,1,IF(L23=1,2.5,IF(L23=2,Referencias!$BA$19,IF(L23=3,Referencias!$BA$34,IF(L23=4,4.5,L23)))))/100 ))*J23,
                          IF(I23="Junta irregular", L23,
                          IF(I23="Junta perimetral", J23*(K23),
                             0
)))))))))</f>
        <v/>
      </c>
      <c r="X23" s="161" t="str">
        <f t="shared" si="0"/>
        <v/>
      </c>
      <c r="Y23" s="161" t="str">
        <f t="shared" si="1"/>
        <v/>
      </c>
      <c r="Z23" s="162" t="str">
        <f>IF(T23="","",
       IF(OR($T23=Referencias!$Y$20,$T23=Referencias!$Y$21),1,
       IF(OR($T23=Referencias!$Y$18,$T23=Referencias!$Y$19),( PI()*((V23*P23)+(2*0.48*( V23*((0+(V23-1))/2) ))) )/100,
            V23*Y23
)))</f>
        <v/>
      </c>
      <c r="AA23" s="167"/>
      <c r="AB23" s="162" t="str">
        <f t="shared" si="2"/>
        <v/>
      </c>
      <c r="AC23" s="141"/>
      <c r="AF23" s="141"/>
    </row>
    <row r="24" spans="1:32" ht="8.25" x14ac:dyDescent="0.2">
      <c r="A24" s="191" t="s">
        <v>226</v>
      </c>
      <c r="B24" s="191"/>
      <c r="C24" s="191"/>
      <c r="D24" s="192"/>
      <c r="E24" s="192"/>
      <c r="F24" s="199"/>
      <c r="G24" s="191"/>
      <c r="H24" s="193"/>
      <c r="I24" s="191"/>
      <c r="J24" s="193"/>
      <c r="K24" s="193"/>
      <c r="L24" s="193"/>
      <c r="M24" s="191"/>
      <c r="N24" s="194"/>
      <c r="O24" s="193"/>
      <c r="P24" s="193"/>
      <c r="Q24" s="193"/>
      <c r="R24" s="195"/>
      <c r="S24" s="196"/>
      <c r="T24" s="155"/>
      <c r="U24" s="170"/>
      <c r="V24" s="160"/>
      <c r="W24" s="161" t="str">
        <f>IF($A24="",
        "",
        IF(T24="","",
                          IF(I24="Circular",PI()*(J24^2)/4,
                          IF(I24="Rectangular", J24*K24,
                          IF(I24="Irregular",  J24*K24,
                          IF(I24="Junta delgada",  J24*K24,
                          IF(I24="Junta steeldeck",(K24+(IF(L24=0,1,IF(L24=1,2.5,IF(L24=2,Referencias!$BA$19,IF(L24=3,Referencias!$BA$34,IF(L24=4,4.5,L24)))))/100 ))*J24,
                          IF(I24="Junta irregular", L24,
                          IF(I24="Junta perimetral", J24*(K24),
                             0
)))))))))</f>
        <v/>
      </c>
      <c r="X24" s="161" t="str">
        <f t="shared" si="0"/>
        <v/>
      </c>
      <c r="Y24" s="161" t="str">
        <f t="shared" si="1"/>
        <v/>
      </c>
      <c r="Z24" s="162" t="str">
        <f>IF(T24="","",
       IF(OR($T24=Referencias!$Y$20,$T24=Referencias!$Y$21),1,
       IF(OR($T24=Referencias!$Y$18,$T24=Referencias!$Y$19),( PI()*((V24*P24)+(2*0.48*( V24*((0+(V24-1))/2) ))) )/100,
            V24*Y24
)))</f>
        <v/>
      </c>
      <c r="AA24" s="167"/>
      <c r="AB24" s="162" t="str">
        <f t="shared" si="2"/>
        <v/>
      </c>
      <c r="AC24" s="141"/>
      <c r="AF24" s="141"/>
    </row>
    <row r="25" spans="1:32" ht="8.25" x14ac:dyDescent="0.2">
      <c r="A25" s="191" t="s">
        <v>226</v>
      </c>
      <c r="B25" s="191"/>
      <c r="C25" s="191"/>
      <c r="D25" s="192"/>
      <c r="E25" s="192"/>
      <c r="F25" s="199"/>
      <c r="G25" s="191"/>
      <c r="H25" s="193"/>
      <c r="I25" s="191"/>
      <c r="J25" s="193"/>
      <c r="K25" s="193"/>
      <c r="L25" s="193"/>
      <c r="M25" s="191"/>
      <c r="N25" s="194"/>
      <c r="O25" s="193"/>
      <c r="P25" s="193"/>
      <c r="Q25" s="193"/>
      <c r="R25" s="195"/>
      <c r="S25" s="196"/>
      <c r="T25" s="155"/>
      <c r="U25" s="170"/>
      <c r="V25" s="160"/>
      <c r="W25" s="161" t="str">
        <f>IF($A25="",
        "",
        IF(T25="","",
                          IF(I25="Circular",PI()*(J25^2)/4,
                          IF(I25="Rectangular", J25*K25,
                          IF(I25="Irregular",  J25*K25,
                          IF(I25="Junta delgada",  J25*K25,
                          IF(I25="Junta steeldeck",(K25+(IF(L25=0,1,IF(L25=1,2.5,IF(L25=2,Referencias!$BA$19,IF(L25=3,Referencias!$BA$34,IF(L25=4,4.5,L25)))))/100 ))*J25,
                          IF(I25="Junta irregular", L25,
                          IF(I25="Junta perimetral", J25*(K25),
                             0
)))))))))</f>
        <v/>
      </c>
      <c r="X25" s="161" t="str">
        <f t="shared" si="0"/>
        <v/>
      </c>
      <c r="Y25" s="161" t="str">
        <f t="shared" si="1"/>
        <v/>
      </c>
      <c r="Z25" s="162" t="str">
        <f>IF(T25="","",
       IF(OR($T25=Referencias!$Y$20,$T25=Referencias!$Y$21),1,
       IF(OR($T25=Referencias!$Y$18,$T25=Referencias!$Y$19),( PI()*((V25*P25)+(2*0.48*( V25*((0+(V25-1))/2) ))) )/100,
            V25*Y25
)))</f>
        <v/>
      </c>
      <c r="AA25" s="167"/>
      <c r="AB25" s="162" t="str">
        <f t="shared" si="2"/>
        <v/>
      </c>
      <c r="AC25" s="141"/>
      <c r="AF25" s="141"/>
    </row>
    <row r="26" spans="1:32" ht="8.25" x14ac:dyDescent="0.2">
      <c r="A26" s="191" t="s">
        <v>227</v>
      </c>
      <c r="B26" s="191"/>
      <c r="C26" s="191"/>
      <c r="D26" s="192"/>
      <c r="E26" s="192"/>
      <c r="F26" s="199"/>
      <c r="G26" s="191"/>
      <c r="H26" s="193"/>
      <c r="I26" s="191"/>
      <c r="J26" s="193"/>
      <c r="K26" s="193"/>
      <c r="L26" s="193"/>
      <c r="M26" s="191"/>
      <c r="N26" s="194"/>
      <c r="O26" s="193"/>
      <c r="P26" s="193"/>
      <c r="Q26" s="193"/>
      <c r="R26" s="195"/>
      <c r="S26" s="196"/>
      <c r="T26" s="155"/>
      <c r="U26" s="170"/>
      <c r="V26" s="160"/>
      <c r="W26" s="161" t="str">
        <f>IF($A26="",
        "",
        IF(T26="","",
                          IF(I26="Circular",PI()*(J26^2)/4,
                          IF(I26="Rectangular", J26*K26,
                          IF(I26="Irregular",  J26*K26,
                          IF(I26="Junta delgada",  J26*K26,
                          IF(I26="Junta steeldeck",(K26+(IF(L26=0,1,IF(L26=1,2.5,IF(L26=2,Referencias!$BA$19,IF(L26=3,Referencias!$BA$34,IF(L26=4,4.5,L26)))))/100 ))*J26,
                          IF(I26="Junta irregular", L26,
                          IF(I26="Junta perimetral", J26*(K26),
                             0
)))))))))</f>
        <v/>
      </c>
      <c r="X26" s="161" t="str">
        <f t="shared" si="0"/>
        <v/>
      </c>
      <c r="Y26" s="161" t="str">
        <f t="shared" si="1"/>
        <v/>
      </c>
      <c r="Z26" s="162" t="str">
        <f>IF(T26="","",
       IF(OR($T26=Referencias!$Y$20,$T26=Referencias!$Y$21),1,
       IF(OR($T26=Referencias!$Y$18,$T26=Referencias!$Y$19),( PI()*((V26*P26)+(2*0.48*( V26*((0+(V26-1))/2) ))) )/100,
            V26*Y26
)))</f>
        <v/>
      </c>
      <c r="AA26" s="167"/>
      <c r="AB26" s="162" t="str">
        <f t="shared" si="2"/>
        <v/>
      </c>
      <c r="AC26" s="141"/>
      <c r="AF26" s="141"/>
    </row>
    <row r="27" spans="1:32" ht="8.25" x14ac:dyDescent="0.2">
      <c r="A27" s="191" t="s">
        <v>227</v>
      </c>
      <c r="B27" s="191"/>
      <c r="C27" s="191"/>
      <c r="D27" s="192"/>
      <c r="E27" s="192"/>
      <c r="F27" s="199"/>
      <c r="G27" s="191"/>
      <c r="H27" s="193"/>
      <c r="I27" s="191"/>
      <c r="J27" s="193"/>
      <c r="K27" s="193"/>
      <c r="L27" s="193"/>
      <c r="M27" s="191"/>
      <c r="N27" s="194"/>
      <c r="O27" s="193"/>
      <c r="P27" s="193"/>
      <c r="Q27" s="193"/>
      <c r="R27" s="195"/>
      <c r="S27" s="196"/>
      <c r="T27" s="155"/>
      <c r="U27" s="170"/>
      <c r="V27" s="160"/>
      <c r="W27" s="161" t="str">
        <f>IF($A27="",
        "",
        IF(T27="","",
                          IF(I27="Circular",PI()*(J27^2)/4,
                          IF(I27="Rectangular", J27*K27,
                          IF(I27="Irregular",  J27*K27,
                          IF(I27="Junta delgada",  J27*K27,
                          IF(I27="Junta steeldeck",(K27+(IF(L27=0,1,IF(L27=1,2.5,IF(L27=2,Referencias!$BA$19,IF(L27=3,Referencias!$BA$34,IF(L27=4,4.5,L27)))))/100 ))*J27,
                          IF(I27="Junta irregular", L27,
                          IF(I27="Junta perimetral", J27*(K27),
                             0
)))))))))</f>
        <v/>
      </c>
      <c r="X27" s="161" t="str">
        <f t="shared" si="0"/>
        <v/>
      </c>
      <c r="Y27" s="161" t="str">
        <f t="shared" si="1"/>
        <v/>
      </c>
      <c r="Z27" s="162" t="str">
        <f>IF(T27="","",
       IF(OR($T27=Referencias!$Y$20,$T27=Referencias!$Y$21),1,
       IF(OR($T27=Referencias!$Y$18,$T27=Referencias!$Y$19),( PI()*((V27*P27)+(2*0.48*( V27*((0+(V27-1))/2) ))) )/100,
            V27*Y27
)))</f>
        <v/>
      </c>
      <c r="AA27" s="167"/>
      <c r="AB27" s="162" t="str">
        <f t="shared" si="2"/>
        <v/>
      </c>
      <c r="AC27" s="141"/>
      <c r="AF27" s="141"/>
    </row>
    <row r="28" spans="1:32" ht="9" customHeight="1" x14ac:dyDescent="0.2">
      <c r="A28" s="191" t="s">
        <v>228</v>
      </c>
      <c r="B28" s="191"/>
      <c r="C28" s="191"/>
      <c r="D28" s="192"/>
      <c r="E28" s="192"/>
      <c r="F28" s="199"/>
      <c r="G28" s="191"/>
      <c r="H28" s="193"/>
      <c r="I28" s="191"/>
      <c r="J28" s="193"/>
      <c r="K28" s="193"/>
      <c r="L28" s="193"/>
      <c r="M28" s="191"/>
      <c r="N28" s="194"/>
      <c r="O28" s="193"/>
      <c r="P28" s="193"/>
      <c r="Q28" s="193"/>
      <c r="R28" s="195"/>
      <c r="S28" s="196"/>
      <c r="T28" s="155"/>
      <c r="U28" s="170"/>
      <c r="V28" s="160"/>
      <c r="W28" s="161" t="str">
        <f>IF($A28="",
        "",
        IF(T28="","",
                          IF(I28="Circular",PI()*(J28^2)/4,
                          IF(I28="Rectangular", J28*K28,
                          IF(I28="Irregular",  J28*K28,
                          IF(I28="Junta delgada",  J28*K28,
                          IF(I28="Junta steeldeck",(K28+(IF(L28=0,1,IF(L28=1,2.5,IF(L28=2,Referencias!$BA$19,IF(L28=3,Referencias!$BA$34,IF(L28=4,4.5,L28)))))/100 ))*J28,
                          IF(I28="Junta irregular", L28,
                          IF(I28="Junta perimetral", J28*(K28),
                             0
)))))))))</f>
        <v/>
      </c>
      <c r="X28" s="161" t="str">
        <f t="shared" si="0"/>
        <v/>
      </c>
      <c r="Y28" s="161" t="str">
        <f t="shared" si="1"/>
        <v/>
      </c>
      <c r="Z28" s="162" t="str">
        <f>IF(T28="","",
       IF(OR($T28=Referencias!$Y$20,$T28=Referencias!$Y$21),1,
       IF(OR($T28=Referencias!$Y$18,$T28=Referencias!$Y$19),( PI()*((V28*P28)+(2*0.48*( V28*((0+(V28-1))/2) ))) )/100,
            V28*Y28
)))</f>
        <v/>
      </c>
      <c r="AA28" s="167"/>
      <c r="AB28" s="162" t="str">
        <f t="shared" si="2"/>
        <v/>
      </c>
      <c r="AC28" s="141"/>
      <c r="AF28" s="141"/>
    </row>
    <row r="29" spans="1:32" ht="9" customHeight="1" x14ac:dyDescent="0.2">
      <c r="A29" s="191" t="s">
        <v>228</v>
      </c>
      <c r="B29" s="191"/>
      <c r="C29" s="191"/>
      <c r="D29" s="192"/>
      <c r="E29" s="192"/>
      <c r="F29" s="199"/>
      <c r="G29" s="191"/>
      <c r="H29" s="193"/>
      <c r="I29" s="191"/>
      <c r="J29" s="193"/>
      <c r="K29" s="193"/>
      <c r="L29" s="193"/>
      <c r="M29" s="191"/>
      <c r="N29" s="194"/>
      <c r="O29" s="193"/>
      <c r="P29" s="193"/>
      <c r="Q29" s="193"/>
      <c r="R29" s="195"/>
      <c r="S29" s="196"/>
      <c r="T29" s="155"/>
      <c r="U29" s="170"/>
      <c r="V29" s="160"/>
      <c r="W29" s="161" t="str">
        <f>IF($A29="",
        "",
        IF(T29="","",
                          IF(I29="Circular",PI()*(J29^2)/4,
                          IF(I29="Rectangular", J29*K29,
                          IF(I29="Irregular",  J29*K29,
                          IF(I29="Junta delgada",  J29*K29,
                          IF(I29="Junta steeldeck",(K29+(IF(L29=0,1,IF(L29=1,2.5,IF(L29=2,Referencias!$BA$19,IF(L29=3,Referencias!$BA$34,IF(L29=4,4.5,L29)))))/100 ))*J29,
                          IF(I29="Junta irregular", L29,
                          IF(I29="Junta perimetral", J29*(K29),
                             0
)))))))))</f>
        <v/>
      </c>
      <c r="X29" s="161" t="str">
        <f t="shared" si="0"/>
        <v/>
      </c>
      <c r="Y29" s="161" t="str">
        <f t="shared" si="1"/>
        <v/>
      </c>
      <c r="Z29" s="162" t="str">
        <f>IF(T29="","",
       IF(OR($T29=Referencias!$Y$20,$T29=Referencias!$Y$21),1,
       IF(OR($T29=Referencias!$Y$18,$T29=Referencias!$Y$19),( PI()*((V29*P29)+(2*0.48*( V29*((0+(V29-1))/2) ))) )/100,
            V29*Y29
)))</f>
        <v/>
      </c>
      <c r="AA29" s="167"/>
      <c r="AB29" s="162" t="str">
        <f t="shared" si="2"/>
        <v/>
      </c>
      <c r="AC29" s="141"/>
      <c r="AF29" s="141"/>
    </row>
    <row r="30" spans="1:32" ht="9" customHeight="1" x14ac:dyDescent="0.2">
      <c r="A30" s="191" t="s">
        <v>229</v>
      </c>
      <c r="B30" s="191"/>
      <c r="C30" s="191"/>
      <c r="D30" s="192"/>
      <c r="E30" s="192"/>
      <c r="F30" s="199"/>
      <c r="G30" s="191"/>
      <c r="H30" s="193"/>
      <c r="I30" s="191"/>
      <c r="J30" s="193"/>
      <c r="K30" s="193"/>
      <c r="L30" s="193"/>
      <c r="M30" s="191"/>
      <c r="N30" s="194"/>
      <c r="O30" s="193"/>
      <c r="P30" s="193"/>
      <c r="Q30" s="193"/>
      <c r="R30" s="195"/>
      <c r="S30" s="196"/>
      <c r="T30" s="155"/>
      <c r="U30" s="170"/>
      <c r="V30" s="160"/>
      <c r="W30" s="161" t="str">
        <f>IF($A30="",
        "",
        IF(T30="","",
                          IF(I30="Circular",PI()*(J30^2)/4,
                          IF(I30="Rectangular", J30*K30,
                          IF(I30="Irregular",  J30*K30,
                          IF(I30="Junta delgada",  J30*K30,
                          IF(I30="Junta steeldeck",(K30+(IF(L30=0,1,IF(L30=1,2.5,IF(L30=2,Referencias!$BA$19,IF(L30=3,Referencias!$BA$34,IF(L30=4,4.5,L30)))))/100 ))*J30,
                          IF(I30="Junta irregular", L30,
                          IF(I30="Junta perimetral", J30*(K30),
                             0
)))))))))</f>
        <v/>
      </c>
      <c r="X30" s="161" t="str">
        <f t="shared" si="0"/>
        <v/>
      </c>
      <c r="Y30" s="161" t="str">
        <f t="shared" si="1"/>
        <v/>
      </c>
      <c r="Z30" s="162" t="str">
        <f>IF(T30="","",
       IF(OR($T30=Referencias!$Y$20,$T30=Referencias!$Y$21),1,
       IF(OR($T30=Referencias!$Y$18,$T30=Referencias!$Y$19),( PI()*((V30*P30)+(2*0.48*( V30*((0+(V30-1))/2) ))) )/100,
            V30*Y30
)))</f>
        <v/>
      </c>
      <c r="AA30" s="167"/>
      <c r="AB30" s="162" t="str">
        <f t="shared" si="2"/>
        <v/>
      </c>
      <c r="AC30" s="141"/>
      <c r="AF30" s="141"/>
    </row>
    <row r="31" spans="1:32" ht="9" customHeight="1" x14ac:dyDescent="0.2">
      <c r="A31" s="155" t="s">
        <v>229</v>
      </c>
      <c r="B31" s="155"/>
      <c r="C31" s="155"/>
      <c r="D31" s="201"/>
      <c r="E31" s="201"/>
      <c r="F31" s="202"/>
      <c r="G31" s="155"/>
      <c r="H31" s="203"/>
      <c r="I31" s="155"/>
      <c r="J31" s="203"/>
      <c r="K31" s="203"/>
      <c r="L31" s="203"/>
      <c r="M31" s="155"/>
      <c r="N31" s="204"/>
      <c r="O31" s="203"/>
      <c r="P31" s="203"/>
      <c r="Q31" s="203"/>
      <c r="R31" s="205"/>
      <c r="S31" s="203"/>
      <c r="T31" s="203"/>
      <c r="U31" s="170"/>
      <c r="V31" s="160"/>
      <c r="W31" s="161" t="str">
        <f>IF($A31="",
        "",
        IF(T31="","",
                          IF(I31="Circular",PI()*(J31^2)/4,
                          IF(I31="Rectangular", J31*K31,
                          IF(I31="Irregular",  J31*K31,
                          IF(I31="Junta delgada",  J31*K31,
                          IF(I31="Junta steeldeck",(K31+(IF(L31=0,1,IF(L31=1,2.5,IF(L31=2,Referencias!$BA$19,IF(L31=3,Referencias!$BA$34,IF(L31=4,4.5,L31)))))/100 ))*J31,
                          IF(I31="Junta irregular", L31,
                          IF(I31="Junta perimetral", J31*(K31),
                             0
)))))))))</f>
        <v/>
      </c>
      <c r="X31" s="161" t="str">
        <f>IF($A31="",
        "",
              IF(M31="","",
               IF(IFERROR(SEARCH("bandeja",M31),0)&gt;0,              N31*P31*Q31*R31,
               IF(IFERROR(SEARCH("tubería",M31),0)&gt;0,                N31*PI()*(P31^2)/4,
               IF(IFERROR(SEARCH("circular",M31),0)&gt;0,               N31*PI()*(P31^2)/4,
               IF(IFERROR(SEARCH("rectangular",M31),0)&gt;0,       N31*P31*Q31,
               IF(IFERROR(SEARCH("cable",M31),0)&gt;0,                   N31*PI()*(P31^2)/4,
               IF(IFERROR(SEARCH("caja",M31),0)&gt;0,                      N31*P31*Q31,
               IF( IFERROR(SEARCH("blindobarra",M31),0)&gt;0,     N31*P31*Q31,
               IF( IFERROR(SEARCH("ninguno",M31),0)&gt;0,            0,
                    P31
))))))))))</f>
        <v/>
      </c>
      <c r="Y31" s="161" t="str">
        <f t="shared" si="1"/>
        <v/>
      </c>
      <c r="Z31" s="162" t="str">
        <f>IF(T31="","",
       IF(OR($T31=Referencias!$Y$20,$T31=Referencias!$Y$21),1,
       IF(OR($T31=Referencias!$Y$18,$T31=Referencias!$Y$19),( PI()*((V31*P31)+(2*0.48*( V31*((0+(V31-1))/2) ))) )/100,
            V31*Y31
)))</f>
        <v/>
      </c>
      <c r="AA31" s="167"/>
      <c r="AB31" s="162" t="str">
        <f>IF(T31="","",Z31*U31*(1+AA31))</f>
        <v/>
      </c>
    </row>
    <row r="32" spans="1:32" ht="9" customHeight="1" x14ac:dyDescent="0.2">
      <c r="A32" s="155" t="s">
        <v>230</v>
      </c>
      <c r="B32" s="155"/>
      <c r="C32" s="155"/>
      <c r="D32" s="201"/>
      <c r="E32" s="201"/>
      <c r="F32" s="202"/>
      <c r="G32" s="155"/>
      <c r="H32" s="203"/>
      <c r="I32" s="155"/>
      <c r="J32" s="203"/>
      <c r="K32" s="203"/>
      <c r="L32" s="203"/>
      <c r="M32" s="155"/>
      <c r="N32" s="204"/>
      <c r="O32" s="203"/>
      <c r="P32" s="203"/>
      <c r="Q32" s="203"/>
      <c r="R32" s="205"/>
      <c r="S32" s="203"/>
      <c r="T32" s="203"/>
      <c r="U32" s="170"/>
      <c r="V32" s="160"/>
      <c r="W32" s="161" t="str">
        <f>IF($A32="",
        "",
        IF(T32="","",
                          IF(I32="Circular",PI()*(J32^2)/4,
                          IF(I32="Rectangular", J32*K32,
                          IF(I32="Irregular",  J32*K32,
                          IF(I32="Junta delgada",  J32*K32,
                          IF(I32="Junta steeldeck",(K32+(IF(L32=0,1,IF(L32=1,2.5,IF(L32=2,Referencias!$BA$19,IF(L32=3,Referencias!$BA$34,IF(L32=4,4.5,L32)))))/100 ))*J32,
                          IF(I32="Junta irregular", L32,
                          IF(I32="Junta perimetral", J32*(K32),
                             0
)))))))))</f>
        <v/>
      </c>
      <c r="X32" s="161" t="str">
        <f t="shared" ref="X32:X33" si="3">IF($A32="",
        "",
              IF(M32="","",
               IF(IFERROR(SEARCH("bandeja",M32),0)&gt;0,              N32*P32*Q32*R32,
               IF(IFERROR(SEARCH("tubería",M32),0)&gt;0,                N32*PI()*(P32^2)/4,
               IF(IFERROR(SEARCH("circular",M32),0)&gt;0,               N32*PI()*(P32^2)/4,
               IF(IFERROR(SEARCH("rectangular",M32),0)&gt;0,       N32*P32*Q32,
               IF(IFERROR(SEARCH("cable",M32),0)&gt;0,                   N32*PI()*(P32^2)/4,
               IF(IFERROR(SEARCH("caja",M32),0)&gt;0,                      N32*P32*Q32,
               IF( IFERROR(SEARCH("blindobarra",M32),0)&gt;0,     N32*P32*Q32,
               IF( IFERROR(SEARCH("ninguno",M32),0)&gt;0,            0,
                    P32
))))))))))</f>
        <v/>
      </c>
      <c r="Y32" s="161" t="str">
        <f t="shared" si="1"/>
        <v/>
      </c>
      <c r="Z32" s="162" t="str">
        <f>IF(T32="","",
       IF(OR($T32=Referencias!$Y$20,$T32=Referencias!$Y$21),1,
       IF(OR($T32=Referencias!$Y$18,$T32=Referencias!$Y$19),( PI()*((V32*P32)+(2*0.48*( V32*((0+(V32-1))/2) ))) )/100,
            V32*Y32
)))</f>
        <v/>
      </c>
      <c r="AA32" s="167"/>
      <c r="AB32" s="162" t="str">
        <f t="shared" ref="AB32:AB33" si="4">IF(T32="","",Z32*U32*(1+AA32))</f>
        <v/>
      </c>
    </row>
    <row r="33" spans="1:28" ht="9" customHeight="1" x14ac:dyDescent="0.2">
      <c r="A33" s="155" t="s">
        <v>230</v>
      </c>
      <c r="B33" s="155"/>
      <c r="C33" s="155"/>
      <c r="D33" s="201"/>
      <c r="E33" s="201"/>
      <c r="F33" s="202"/>
      <c r="G33" s="155"/>
      <c r="H33" s="203"/>
      <c r="I33" s="155"/>
      <c r="J33" s="203"/>
      <c r="K33" s="203"/>
      <c r="L33" s="203"/>
      <c r="M33" s="155"/>
      <c r="N33" s="204"/>
      <c r="O33" s="203"/>
      <c r="P33" s="203"/>
      <c r="Q33" s="203"/>
      <c r="R33" s="205"/>
      <c r="S33" s="203"/>
      <c r="T33" s="203"/>
      <c r="U33" s="170"/>
      <c r="V33" s="160"/>
      <c r="W33" s="161" t="str">
        <f>IF($A33="",
        "",
        IF(T33="","",
                          IF(I33="Circular",PI()*(J33^2)/4,
                          IF(I33="Rectangular", J33*K33,
                          IF(I33="Irregular",  J33*K33,
                          IF(I33="Junta delgada",  J33*K33,
                          IF(I33="Junta steeldeck",(K33+(IF(L33=0,1,IF(L33=1,2.5,IF(L33=2,Referencias!$BA$19,IF(L33=3,Referencias!$BA$34,IF(L33=4,4.5,L33)))))/100 ))*J33,
                          IF(I33="Junta irregular", L33,
                          IF(I33="Junta perimetral", J33*(K33),
                             0
)))))))))</f>
        <v/>
      </c>
      <c r="X33" s="161" t="str">
        <f t="shared" si="3"/>
        <v/>
      </c>
      <c r="Y33" s="161" t="str">
        <f t="shared" si="1"/>
        <v/>
      </c>
      <c r="Z33" s="162" t="str">
        <f>IF(T33="","",
       IF(OR($T33=Referencias!$Y$20,$T33=Referencias!$Y$21),1,
       IF(OR($T33=Referencias!$Y$18,$T33=Referencias!$Y$19),( PI()*((V33*P33)+(2*0.48*( V33*((0+(V33-1))/2) ))) )/100,
            V33*Y33
)))</f>
        <v/>
      </c>
      <c r="AA33" s="167"/>
      <c r="AB33" s="162" t="str">
        <f t="shared" si="4"/>
        <v/>
      </c>
    </row>
    <row r="34" spans="1:28" ht="9" customHeight="1" x14ac:dyDescent="0.2">
      <c r="A34" s="155" t="s">
        <v>231</v>
      </c>
      <c r="B34" s="155"/>
      <c r="C34" s="155"/>
      <c r="D34" s="201"/>
      <c r="E34" s="201"/>
      <c r="F34" s="202"/>
      <c r="G34" s="155"/>
      <c r="H34" s="203"/>
      <c r="I34" s="155"/>
      <c r="J34" s="203"/>
      <c r="K34" s="203"/>
      <c r="L34" s="203"/>
      <c r="M34" s="155"/>
      <c r="N34" s="204"/>
      <c r="O34" s="203"/>
      <c r="P34" s="203"/>
      <c r="Q34" s="203"/>
      <c r="R34" s="205"/>
      <c r="S34" s="203"/>
      <c r="T34" s="203"/>
      <c r="U34" s="170"/>
      <c r="V34" s="160"/>
      <c r="W34" s="161" t="str">
        <f>IF($A34="",
        "",
        IF(T34="","",
                          IF(I34="Circular",PI()*(J34^2)/4,
                          IF(I34="Rectangular", J34*K34,
                          IF(I34="Irregular",  J34*K34,
                          IF(I34="Junta delgada",  J34*K34,
                          IF(I34="Junta steeldeck",(K34+(IF(L34=0,1,IF(L34=1,2.5,IF(L34=2,Referencias!$BA$19,IF(L34=3,Referencias!$BA$34,IF(L34=4,4.5,L34)))))/100 ))*J34,
                          IF(I34="Junta irregular", L34,
                          IF(I34="Junta perimetral", J34*(K34),
                             0
)))))))))</f>
        <v/>
      </c>
      <c r="X34" s="161" t="str">
        <f t="shared" ref="X34:X35" si="5">IF($A34="",
        "",
              IF(M34="","",
               IF(IFERROR(SEARCH("bandeja",M34),0)&gt;0,              N34*P34*Q34*R34,
               IF(IFERROR(SEARCH("tubería",M34),0)&gt;0,                N34*PI()*(P34^2)/4,
               IF(IFERROR(SEARCH("circular",M34),0)&gt;0,               N34*PI()*(P34^2)/4,
               IF(IFERROR(SEARCH("rectangular",M34),0)&gt;0,       N34*P34*Q34,
               IF(IFERROR(SEARCH("cable",M34),0)&gt;0,                   N34*PI()*(P34^2)/4,
               IF(IFERROR(SEARCH("caja",M34),0)&gt;0,                      N34*P34*Q34,
               IF( IFERROR(SEARCH("blindobarra",M34),0)&gt;0,     N34*P34*Q34,
               IF( IFERROR(SEARCH("ninguno",M34),0)&gt;0,            0,
                    P34
))))))))))</f>
        <v/>
      </c>
      <c r="Y34" s="161" t="str">
        <f t="shared" si="1"/>
        <v/>
      </c>
      <c r="Z34" s="162" t="str">
        <f>IF(T34="","",
       IF(OR($T34=Referencias!$Y$20,$T34=Referencias!$Y$21),1,
       IF(OR($T34=Referencias!$Y$18,$T34=Referencias!$Y$19),( PI()*((V34*P34)+(2*0.48*( V34*((0+(V34-1))/2) ))) )/100,
            V34*Y34
)))</f>
        <v/>
      </c>
      <c r="AA34" s="167"/>
      <c r="AB34" s="162" t="str">
        <f t="shared" ref="AB34:AB35" si="6">IF(T34="","",Z34*U34*(1+AA34))</f>
        <v/>
      </c>
    </row>
    <row r="35" spans="1:28" ht="9" customHeight="1" x14ac:dyDescent="0.2">
      <c r="A35" s="155" t="s">
        <v>231</v>
      </c>
      <c r="B35" s="155"/>
      <c r="C35" s="155"/>
      <c r="D35" s="201"/>
      <c r="E35" s="201"/>
      <c r="F35" s="202"/>
      <c r="G35" s="155"/>
      <c r="H35" s="203"/>
      <c r="I35" s="155"/>
      <c r="J35" s="203"/>
      <c r="K35" s="203"/>
      <c r="L35" s="203"/>
      <c r="M35" s="155"/>
      <c r="N35" s="204"/>
      <c r="O35" s="203"/>
      <c r="P35" s="203"/>
      <c r="Q35" s="203"/>
      <c r="R35" s="205"/>
      <c r="S35" s="203"/>
      <c r="T35" s="203"/>
      <c r="U35" s="170"/>
      <c r="V35" s="160"/>
      <c r="W35" s="161" t="str">
        <f>IF($A35="",
        "",
        IF(T35="","",
                          IF(I35="Circular",PI()*(J35^2)/4,
                          IF(I35="Rectangular", J35*K35,
                          IF(I35="Irregular",  J35*K35,
                          IF(I35="Junta delgada",  J35*K35,
                          IF(I35="Junta steeldeck",(K35+(IF(L35=0,1,IF(L35=1,2.5,IF(L35=2,Referencias!$BA$19,IF(L35=3,Referencias!$BA$34,IF(L35=4,4.5,L35)))))/100 ))*J35,
                          IF(I35="Junta irregular", L35,
                          IF(I35="Junta perimetral", J35*(K35),
                             0
)))))))))</f>
        <v/>
      </c>
      <c r="X35" s="161" t="str">
        <f t="shared" si="5"/>
        <v/>
      </c>
      <c r="Y35" s="161" t="str">
        <f t="shared" si="1"/>
        <v/>
      </c>
      <c r="Z35" s="162" t="str">
        <f>IF(T35="","",
       IF(OR($T35=Referencias!$Y$20,$T35=Referencias!$Y$21),1,
       IF(OR($T35=Referencias!$Y$18,$T35=Referencias!$Y$19),( PI()*((V35*P35)+(2*0.48*( V35*((0+(V35-1))/2) ))) )/100,
            V35*Y35
)))</f>
        <v/>
      </c>
      <c r="AA35" s="167"/>
      <c r="AB35" s="162" t="str">
        <f t="shared" si="6"/>
        <v/>
      </c>
    </row>
    <row r="36" spans="1:28" ht="9" customHeight="1" x14ac:dyDescent="0.2">
      <c r="A36" s="155" t="s">
        <v>232</v>
      </c>
      <c r="B36" s="155"/>
      <c r="C36" s="155"/>
      <c r="D36" s="201"/>
      <c r="E36" s="201"/>
      <c r="F36" s="202"/>
      <c r="G36" s="155"/>
      <c r="H36" s="203"/>
      <c r="I36" s="155"/>
      <c r="J36" s="203"/>
      <c r="K36" s="203"/>
      <c r="L36" s="203"/>
      <c r="M36" s="155"/>
      <c r="N36" s="204"/>
      <c r="O36" s="203"/>
      <c r="P36" s="203"/>
      <c r="Q36" s="203"/>
      <c r="R36" s="205"/>
      <c r="S36" s="203"/>
      <c r="T36" s="203"/>
      <c r="U36" s="170"/>
      <c r="V36" s="160"/>
      <c r="W36" s="161" t="str">
        <f>IF($A36="",
        "",
        IF(T36="","",
                          IF(I36="Circular",PI()*(J36^2)/4,
                          IF(I36="Rectangular", J36*K36,
                          IF(I36="Irregular",  J36*K36,
                          IF(I36="Junta delgada",  J36*K36,
                          IF(I36="Junta steeldeck",(K36+(IF(L36=0,1,IF(L36=1,2.5,IF(L36=2,Referencias!$BA$19,IF(L36=3,Referencias!$BA$34,IF(L36=4,4.5,L36)))))/100 ))*J36,
                          IF(I36="Junta irregular", L36,
                          IF(I36="Junta perimetral", J36*(K36),
                             0
)))))))))</f>
        <v/>
      </c>
      <c r="X36" s="161" t="str">
        <f t="shared" ref="X36:X37" si="7">IF($A36="",
        "",
              IF(M36="","",
               IF(IFERROR(SEARCH("bandeja",M36),0)&gt;0,              N36*P36*Q36*R36,
               IF(IFERROR(SEARCH("tubería",M36),0)&gt;0,                N36*PI()*(P36^2)/4,
               IF(IFERROR(SEARCH("circular",M36),0)&gt;0,               N36*PI()*(P36^2)/4,
               IF(IFERROR(SEARCH("rectangular",M36),0)&gt;0,       N36*P36*Q36,
               IF(IFERROR(SEARCH("cable",M36),0)&gt;0,                   N36*PI()*(P36^2)/4,
               IF(IFERROR(SEARCH("caja",M36),0)&gt;0,                      N36*P36*Q36,
               IF( IFERROR(SEARCH("blindobarra",M36),0)&gt;0,     N36*P36*Q36,
               IF( IFERROR(SEARCH("ninguno",M36),0)&gt;0,            0,
                    P36
))))))))))</f>
        <v/>
      </c>
      <c r="Y36" s="161" t="str">
        <f t="shared" si="1"/>
        <v/>
      </c>
      <c r="Z36" s="162" t="str">
        <f>IF(T36="","",
       IF(OR($T36=Referencias!$Y$20,$T36=Referencias!$Y$21),1,
       IF(OR($T36=Referencias!$Y$18,$T36=Referencias!$Y$19),( PI()*((V36*P36)+(2*0.48*( V36*((0+(V36-1))/2) ))) )/100,
            V36*Y36
)))</f>
        <v/>
      </c>
      <c r="AA36" s="167"/>
      <c r="AB36" s="162" t="str">
        <f t="shared" ref="AB36:AB37" si="8">IF(T36="","",Z36*U36*(1+AA36))</f>
        <v/>
      </c>
    </row>
    <row r="37" spans="1:28" ht="9" customHeight="1" x14ac:dyDescent="0.2">
      <c r="A37" s="155" t="s">
        <v>232</v>
      </c>
      <c r="B37" s="155"/>
      <c r="C37" s="155"/>
      <c r="D37" s="201"/>
      <c r="E37" s="201"/>
      <c r="F37" s="202"/>
      <c r="G37" s="155"/>
      <c r="H37" s="203"/>
      <c r="I37" s="155"/>
      <c r="J37" s="203"/>
      <c r="K37" s="203"/>
      <c r="L37" s="203"/>
      <c r="M37" s="155"/>
      <c r="N37" s="204"/>
      <c r="O37" s="203"/>
      <c r="P37" s="203"/>
      <c r="Q37" s="203"/>
      <c r="R37" s="205"/>
      <c r="S37" s="203"/>
      <c r="T37" s="203"/>
      <c r="U37" s="170"/>
      <c r="V37" s="160"/>
      <c r="W37" s="161" t="str">
        <f>IF($A37="",
        "",
        IF(T37="","",
                          IF(I37="Circular",PI()*(J37^2)/4,
                          IF(I37="Rectangular", J37*K37,
                          IF(I37="Irregular",  J37*K37,
                          IF(I37="Junta delgada",  J37*K37,
                          IF(I37="Junta steeldeck",(K37+(IF(L37=0,1,IF(L37=1,2.5,IF(L37=2,Referencias!$BA$19,IF(L37=3,Referencias!$BA$34,IF(L37=4,4.5,L37)))))/100 ))*J37,
                          IF(I37="Junta irregular", L37,
                          IF(I37="Junta perimetral", J37*(K37),
                             0
)))))))))</f>
        <v/>
      </c>
      <c r="X37" s="161" t="str">
        <f t="shared" si="7"/>
        <v/>
      </c>
      <c r="Y37" s="161" t="str">
        <f t="shared" si="1"/>
        <v/>
      </c>
      <c r="Z37" s="162" t="str">
        <f>IF(T37="","",
       IF(OR($T37=Referencias!$Y$20,$T37=Referencias!$Y$21),1,
       IF(OR($T37=Referencias!$Y$18,$T37=Referencias!$Y$19),( PI()*((V37*P37)+(2*0.48*( V37*((0+(V37-1))/2) ))) )/100,
            V37*Y37
)))</f>
        <v/>
      </c>
      <c r="AA37" s="167"/>
      <c r="AB37" s="162" t="str">
        <f t="shared" si="8"/>
        <v/>
      </c>
    </row>
    <row r="38" spans="1:28" ht="9" customHeight="1" x14ac:dyDescent="0.2">
      <c r="A38" s="155" t="s">
        <v>233</v>
      </c>
      <c r="B38" s="155"/>
      <c r="C38" s="155"/>
      <c r="D38" s="201"/>
      <c r="E38" s="201"/>
      <c r="F38" s="202"/>
      <c r="G38" s="155"/>
      <c r="H38" s="203"/>
      <c r="I38" s="155"/>
      <c r="J38" s="203"/>
      <c r="K38" s="203"/>
      <c r="L38" s="203"/>
      <c r="M38" s="155"/>
      <c r="N38" s="204"/>
      <c r="O38" s="203"/>
      <c r="P38" s="203"/>
      <c r="Q38" s="203"/>
      <c r="R38" s="205"/>
      <c r="S38" s="203"/>
      <c r="T38" s="203"/>
      <c r="U38" s="170"/>
      <c r="V38" s="160"/>
      <c r="W38" s="161" t="str">
        <f>IF($A38="",
        "",
        IF(T38="","",
                          IF(I38="Circular",PI()*(J38^2)/4,
                          IF(I38="Rectangular", J38*K38,
                          IF(I38="Irregular",  J38*K38,
                          IF(I38="Junta delgada",  J38*K38,
                          IF(I38="Junta steeldeck",(K38+(IF(L38=0,1,IF(L38=1,2.5,IF(L38=2,Referencias!$BA$19,IF(L38=3,Referencias!$BA$34,IF(L38=4,4.5,L38)))))/100 ))*J38,
                          IF(I38="Junta irregular", L38,
                          IF(I38="Junta perimetral", J38*(K38),
                             0
)))))))))</f>
        <v/>
      </c>
      <c r="X38" s="161" t="str">
        <f t="shared" ref="X38:X39" si="9">IF($A38="",
        "",
              IF(M38="","",
               IF(IFERROR(SEARCH("bandeja",M38),0)&gt;0,              N38*P38*Q38*R38,
               IF(IFERROR(SEARCH("tubería",M38),0)&gt;0,                N38*PI()*(P38^2)/4,
               IF(IFERROR(SEARCH("circular",M38),0)&gt;0,               N38*PI()*(P38^2)/4,
               IF(IFERROR(SEARCH("rectangular",M38),0)&gt;0,       N38*P38*Q38,
               IF(IFERROR(SEARCH("cable",M38),0)&gt;0,                   N38*PI()*(P38^2)/4,
               IF(IFERROR(SEARCH("caja",M38),0)&gt;0,                      N38*P38*Q38,
               IF( IFERROR(SEARCH("blindobarra",M38),0)&gt;0,     N38*P38*Q38,
               IF( IFERROR(SEARCH("ninguno",M38),0)&gt;0,            0,
                    P38
))))))))))</f>
        <v/>
      </c>
      <c r="Y38" s="161" t="str">
        <f t="shared" si="1"/>
        <v/>
      </c>
      <c r="Z38" s="162" t="str">
        <f>IF(T38="","",
       IF(OR($T38=Referencias!$Y$20,$T38=Referencias!$Y$21),1,
       IF(OR($T38=Referencias!$Y$18,$T38=Referencias!$Y$19),( PI()*((V38*P38)+(2*0.48*( V38*((0+(V38-1))/2) ))) )/100,
            V38*Y38
)))</f>
        <v/>
      </c>
      <c r="AA38" s="167"/>
      <c r="AB38" s="162" t="str">
        <f t="shared" ref="AB38:AB39" si="10">IF(T38="","",Z38*U38*(1+AA38))</f>
        <v/>
      </c>
    </row>
    <row r="39" spans="1:28" ht="9" customHeight="1" x14ac:dyDescent="0.2">
      <c r="A39" s="155" t="s">
        <v>233</v>
      </c>
      <c r="B39" s="155"/>
      <c r="C39" s="155"/>
      <c r="D39" s="201"/>
      <c r="E39" s="201"/>
      <c r="F39" s="202"/>
      <c r="G39" s="155"/>
      <c r="H39" s="203"/>
      <c r="I39" s="155"/>
      <c r="J39" s="203"/>
      <c r="K39" s="203"/>
      <c r="L39" s="203"/>
      <c r="M39" s="155"/>
      <c r="N39" s="204"/>
      <c r="O39" s="203"/>
      <c r="P39" s="203"/>
      <c r="Q39" s="203"/>
      <c r="R39" s="205"/>
      <c r="S39" s="203"/>
      <c r="T39" s="203"/>
      <c r="U39" s="170"/>
      <c r="V39" s="160"/>
      <c r="W39" s="161" t="str">
        <f>IF($A39="",
        "",
        IF(T39="","",
                          IF(I39="Circular",PI()*(J39^2)/4,
                          IF(I39="Rectangular", J39*K39,
                          IF(I39="Irregular",  J39*K39,
                          IF(I39="Junta delgada",  J39*K39,
                          IF(I39="Junta steeldeck",(K39+(IF(L39=0,1,IF(L39=1,2.5,IF(L39=2,Referencias!$BA$19,IF(L39=3,Referencias!$BA$34,IF(L39=4,4.5,L39)))))/100 ))*J39,
                          IF(I39="Junta irregular", L39,
                          IF(I39="Junta perimetral", J39*(K39),
                             0
)))))))))</f>
        <v/>
      </c>
      <c r="X39" s="161" t="str">
        <f t="shared" si="9"/>
        <v/>
      </c>
      <c r="Y39" s="161" t="str">
        <f t="shared" si="1"/>
        <v/>
      </c>
      <c r="Z39" s="162" t="str">
        <f>IF(T39="","",
       IF(OR($T39=Referencias!$Y$20,$T39=Referencias!$Y$21),1,
       IF(OR($T39=Referencias!$Y$18,$T39=Referencias!$Y$19),( PI()*((V39*P39)+(2*0.48*( V39*((0+(V39-1))/2) ))) )/100,
            V39*Y39
)))</f>
        <v/>
      </c>
      <c r="AA39" s="167"/>
      <c r="AB39" s="162" t="str">
        <f t="shared" si="10"/>
        <v/>
      </c>
    </row>
    <row r="40" spans="1:28" ht="9" customHeight="1" x14ac:dyDescent="0.2">
      <c r="A40" s="155" t="s">
        <v>233</v>
      </c>
      <c r="B40" s="155"/>
      <c r="C40" s="155"/>
      <c r="D40" s="201"/>
      <c r="E40" s="201"/>
      <c r="F40" s="202"/>
      <c r="G40" s="155"/>
      <c r="H40" s="203"/>
      <c r="I40" s="155"/>
      <c r="J40" s="203"/>
      <c r="K40" s="203"/>
      <c r="L40" s="203"/>
      <c r="M40" s="155"/>
      <c r="N40" s="204"/>
      <c r="O40" s="203"/>
      <c r="P40" s="203"/>
      <c r="Q40" s="203"/>
      <c r="R40" s="205"/>
      <c r="S40" s="203"/>
      <c r="T40" s="203"/>
      <c r="U40" s="170"/>
      <c r="V40" s="160"/>
      <c r="W40" s="161" t="str">
        <f>IF($A40="",
        "",
        IF(T40="","",
                          IF(I40="Circular",PI()*(J40^2)/4,
                          IF(I40="Rectangular", J40*K40,
                          IF(I40="Irregular",  J40*K40,
                          IF(I40="Junta delgada",  J40*K40,
                          IF(I40="Junta steeldeck",(K40+(IF(L40=0,1,IF(L40=1,2.5,IF(L40=2,Referencias!$BA$19,IF(L40=3,Referencias!$BA$34,IF(L40=4,4.5,L40)))))/100 ))*J40,
                          IF(I40="Junta irregular", L40,
                          IF(I40="Junta perimetral", J40*(K40),
                             0
)))))))))</f>
        <v/>
      </c>
      <c r="X40" s="161" t="str">
        <f t="shared" ref="X40:X41" si="11">IF($A40="",
        "",
              IF(M40="","",
               IF(IFERROR(SEARCH("bandeja",M40),0)&gt;0,              N40*P40*Q40*R40,
               IF(IFERROR(SEARCH("tubería",M40),0)&gt;0,                N40*PI()*(P40^2)/4,
               IF(IFERROR(SEARCH("circular",M40),0)&gt;0,               N40*PI()*(P40^2)/4,
               IF(IFERROR(SEARCH("rectangular",M40),0)&gt;0,       N40*P40*Q40,
               IF(IFERROR(SEARCH("cable",M40),0)&gt;0,                   N40*PI()*(P40^2)/4,
               IF(IFERROR(SEARCH("caja",M40),0)&gt;0,                      N40*P40*Q40,
               IF( IFERROR(SEARCH("blindobarra",M40),0)&gt;0,     N40*P40*Q40,
               IF( IFERROR(SEARCH("ninguno",M40),0)&gt;0,            0,
                    P40
))))))))))</f>
        <v/>
      </c>
      <c r="Y40" s="161" t="str">
        <f t="shared" si="1"/>
        <v/>
      </c>
      <c r="Z40" s="162" t="str">
        <f>IF(T40="","",
       IF(OR($T40=Referencias!$Y$20,$T40=Referencias!$Y$21),1,
       IF(OR($T40=Referencias!$Y$18,$T40=Referencias!$Y$19),( PI()*((V40*P40)+(2*0.48*( V40*((0+(V40-1))/2) ))) )/100,
            V40*Y40
)))</f>
        <v/>
      </c>
      <c r="AA40" s="167"/>
      <c r="AB40" s="162" t="str">
        <f t="shared" ref="AB40:AB41" si="12">IF(T40="","",Z40*U40*(1+AA40))</f>
        <v/>
      </c>
    </row>
    <row r="41" spans="1:28" ht="9" customHeight="1" x14ac:dyDescent="0.2">
      <c r="A41" s="155" t="s">
        <v>234</v>
      </c>
      <c r="B41" s="155"/>
      <c r="C41" s="155"/>
      <c r="D41" s="201"/>
      <c r="E41" s="201"/>
      <c r="F41" s="202"/>
      <c r="G41" s="155"/>
      <c r="H41" s="203"/>
      <c r="I41" s="155"/>
      <c r="J41" s="203"/>
      <c r="K41" s="203"/>
      <c r="L41" s="203"/>
      <c r="M41" s="155"/>
      <c r="N41" s="204"/>
      <c r="O41" s="203"/>
      <c r="P41" s="203"/>
      <c r="Q41" s="203"/>
      <c r="R41" s="205"/>
      <c r="S41" s="203"/>
      <c r="T41" s="203"/>
      <c r="U41" s="170"/>
      <c r="V41" s="160"/>
      <c r="W41" s="161" t="str">
        <f>IF($A41="",
        "",
        IF(T41="","",
                          IF(I41="Circular",PI()*(J41^2)/4,
                          IF(I41="Rectangular", J41*K41,
                          IF(I41="Irregular",  J41*K41,
                          IF(I41="Junta delgada",  J41*K41,
                          IF(I41="Junta steeldeck",(K41+(IF(L41=0,1,IF(L41=1,2.5,IF(L41=2,Referencias!$BA$19,IF(L41=3,Referencias!$BA$34,IF(L41=4,4.5,L41)))))/100 ))*J41,
                          IF(I41="Junta irregular", L41,
                          IF(I41="Junta perimetral", J41*(K41),
                             0
)))))))))</f>
        <v/>
      </c>
      <c r="X41" s="161" t="str">
        <f t="shared" si="11"/>
        <v/>
      </c>
      <c r="Y41" s="161" t="str">
        <f t="shared" si="1"/>
        <v/>
      </c>
      <c r="Z41" s="162" t="str">
        <f>IF(T41="","",
       IF(OR($T41=Referencias!$Y$20,$T41=Referencias!$Y$21),1,
       IF(OR($T41=Referencias!$Y$18,$T41=Referencias!$Y$19),( PI()*((V41*P41)+(2*0.48*( V41*((0+(V41-1))/2) ))) )/100,
            V41*Y41
)))</f>
        <v/>
      </c>
      <c r="AA41" s="167"/>
      <c r="AB41" s="162" t="str">
        <f t="shared" si="12"/>
        <v/>
      </c>
    </row>
    <row r="42" spans="1:28" ht="9" customHeight="1" x14ac:dyDescent="0.2">
      <c r="A42" s="155" t="s">
        <v>234</v>
      </c>
      <c r="B42" s="155"/>
      <c r="C42" s="155"/>
      <c r="D42" s="201"/>
      <c r="E42" s="201"/>
      <c r="F42" s="202"/>
      <c r="G42" s="155"/>
      <c r="H42" s="203"/>
      <c r="I42" s="155"/>
      <c r="J42" s="203"/>
      <c r="K42" s="203"/>
      <c r="L42" s="203"/>
      <c r="M42" s="155"/>
      <c r="N42" s="204"/>
      <c r="O42" s="203"/>
      <c r="P42" s="203"/>
      <c r="Q42" s="203"/>
      <c r="R42" s="205"/>
      <c r="S42" s="203"/>
      <c r="T42" s="203"/>
      <c r="U42" s="170"/>
      <c r="V42" s="160"/>
      <c r="W42" s="161" t="str">
        <f>IF($A42="",
        "",
        IF(T42="","",
                          IF(I42="Circular",PI()*(J42^2)/4,
                          IF(I42="Rectangular", J42*K42,
                          IF(I42="Irregular",  J42*K42,
                          IF(I42="Junta delgada",  J42*K42,
                          IF(I42="Junta steeldeck",(K42+(IF(L42=0,1,IF(L42=1,2.5,IF(L42=2,Referencias!$BA$19,IF(L42=3,Referencias!$BA$34,IF(L42=4,4.5,L42)))))/100 ))*J42,
                          IF(I42="Junta irregular", L42,
                          IF(I42="Junta perimetral", J42*(K42),
                             0
)))))))))</f>
        <v/>
      </c>
      <c r="X42" s="161" t="str">
        <f t="shared" ref="X42:X43" si="13">IF($A42="",
        "",
              IF(M42="","",
               IF(IFERROR(SEARCH("bandeja",M42),0)&gt;0,              N42*P42*Q42*R42,
               IF(IFERROR(SEARCH("tubería",M42),0)&gt;0,                N42*PI()*(P42^2)/4,
               IF(IFERROR(SEARCH("circular",M42),0)&gt;0,               N42*PI()*(P42^2)/4,
               IF(IFERROR(SEARCH("rectangular",M42),0)&gt;0,       N42*P42*Q42,
               IF(IFERROR(SEARCH("cable",M42),0)&gt;0,                   N42*PI()*(P42^2)/4,
               IF(IFERROR(SEARCH("caja",M42),0)&gt;0,                      N42*P42*Q42,
               IF( IFERROR(SEARCH("blindobarra",M42),0)&gt;0,     N42*P42*Q42,
               IF( IFERROR(SEARCH("ninguno",M42),0)&gt;0,            0,
                    P42
))))))))))</f>
        <v/>
      </c>
      <c r="Y42" s="161" t="str">
        <f t="shared" ref="Y42:Y43" si="14">IF(T42="","",$W42-SUMIFS($X:$X,$A:$A,$A42))</f>
        <v/>
      </c>
      <c r="Z42" s="162" t="str">
        <f>IF(T42="","",
       IF(OR($T42=Referencias!$Y$20,$T42=Referencias!$Y$21),1,
       IF(OR($T42=Referencias!$Y$18,$T42=Referencias!$Y$19),( PI()*((V42*P42)+(2*0.48*( V42*((0+(V42-1))/2) ))) )/100,
            V42*Y42
)))</f>
        <v/>
      </c>
      <c r="AA42" s="167"/>
      <c r="AB42" s="162" t="str">
        <f t="shared" ref="AB42:AB43" si="15">IF(T42="","",Z42*U42*(1+AA42))</f>
        <v/>
      </c>
    </row>
    <row r="43" spans="1:28" ht="9" customHeight="1" x14ac:dyDescent="0.2">
      <c r="A43" s="155" t="s">
        <v>235</v>
      </c>
      <c r="B43" s="155"/>
      <c r="C43" s="155"/>
      <c r="D43" s="201"/>
      <c r="E43" s="201"/>
      <c r="F43" s="202"/>
      <c r="G43" s="155"/>
      <c r="H43" s="203"/>
      <c r="I43" s="155"/>
      <c r="J43" s="203"/>
      <c r="K43" s="203"/>
      <c r="L43" s="203"/>
      <c r="M43" s="155"/>
      <c r="N43" s="204"/>
      <c r="O43" s="203"/>
      <c r="P43" s="203"/>
      <c r="Q43" s="203"/>
      <c r="R43" s="205"/>
      <c r="S43" s="203"/>
      <c r="T43" s="203"/>
      <c r="U43" s="170"/>
      <c r="V43" s="160"/>
      <c r="W43" s="161" t="str">
        <f>IF($A43="",
        "",
        IF(T43="","",
                          IF(I43="Circular",PI()*(J43^2)/4,
                          IF(I43="Rectangular", J43*K43,
                          IF(I43="Irregular",  J43*K43,
                          IF(I43="Junta delgada",  J43*K43,
                          IF(I43="Junta steeldeck",(K43+(IF(L43=0,1,IF(L43=1,2.5,IF(L43=2,Referencias!$BA$19,IF(L43=3,Referencias!$BA$34,IF(L43=4,4.5,L43)))))/100 ))*J43,
                          IF(I43="Junta irregular", L43,
                          IF(I43="Junta perimetral", J43*(K43),
                             0
)))))))))</f>
        <v/>
      </c>
      <c r="X43" s="161" t="str">
        <f t="shared" si="13"/>
        <v/>
      </c>
      <c r="Y43" s="161" t="str">
        <f t="shared" si="14"/>
        <v/>
      </c>
      <c r="Z43" s="162" t="str">
        <f>IF(T43="","",
       IF(OR($T43=Referencias!$Y$20,$T43=Referencias!$Y$21),1,
       IF(OR($T43=Referencias!$Y$18,$T43=Referencias!$Y$19),( PI()*((V43*P43)+(2*0.48*( V43*((0+(V43-1))/2) ))) )/100,
            V43*Y43
)))</f>
        <v/>
      </c>
      <c r="AA43" s="167"/>
      <c r="AB43" s="162" t="str">
        <f t="shared" si="15"/>
        <v/>
      </c>
    </row>
    <row r="44" spans="1:28" ht="9" customHeight="1" x14ac:dyDescent="0.2">
      <c r="A44" s="155" t="s">
        <v>235</v>
      </c>
      <c r="B44" s="155"/>
      <c r="C44" s="155"/>
      <c r="D44" s="201"/>
      <c r="E44" s="201"/>
      <c r="F44" s="202"/>
      <c r="G44" s="155"/>
      <c r="H44" s="203"/>
      <c r="I44" s="155"/>
      <c r="J44" s="203"/>
      <c r="K44" s="203"/>
      <c r="L44" s="203"/>
      <c r="M44" s="155"/>
      <c r="N44" s="204"/>
      <c r="O44" s="203"/>
      <c r="P44" s="203"/>
      <c r="Q44" s="203"/>
      <c r="R44" s="205"/>
      <c r="S44" s="203"/>
      <c r="T44" s="203"/>
      <c r="U44" s="170"/>
      <c r="V44" s="160"/>
      <c r="W44" s="161" t="str">
        <f>IF($A44="",
        "",
        IF(T44="","",
                          IF(I44="Circular",PI()*(J44^2)/4,
                          IF(I44="Rectangular", J44*K44,
                          IF(I44="Irregular",  J44*K44,
                          IF(I44="Junta delgada",  J44*K44,
                          IF(I44="Junta steeldeck",(K44+(IF(L44=0,1,IF(L44=1,2.5,IF(L44=2,Referencias!$BA$19,IF(L44=3,Referencias!$BA$34,IF(L44=4,4.5,L44)))))/100 ))*J44,
                          IF(I44="Junta irregular", L44,
                          IF(I44="Junta perimetral", J44*(K44),
                             0
)))))))))</f>
        <v/>
      </c>
      <c r="X44" s="161" t="str">
        <f t="shared" ref="X44:X45" si="16">IF($A44="",
        "",
              IF(M44="","",
               IF(IFERROR(SEARCH("bandeja",M44),0)&gt;0,              N44*P44*Q44*R44,
               IF(IFERROR(SEARCH("tubería",M44),0)&gt;0,                N44*PI()*(P44^2)/4,
               IF(IFERROR(SEARCH("circular",M44),0)&gt;0,               N44*PI()*(P44^2)/4,
               IF(IFERROR(SEARCH("rectangular",M44),0)&gt;0,       N44*P44*Q44,
               IF(IFERROR(SEARCH("cable",M44),0)&gt;0,                   N44*PI()*(P44^2)/4,
               IF(IFERROR(SEARCH("caja",M44),0)&gt;0,                      N44*P44*Q44,
               IF( IFERROR(SEARCH("blindobarra",M44),0)&gt;0,     N44*P44*Q44,
               IF( IFERROR(SEARCH("ninguno",M44),0)&gt;0,            0,
                    P44
))))))))))</f>
        <v/>
      </c>
      <c r="Y44" s="161" t="str">
        <f t="shared" ref="Y44:Y45" si="17">IF(T44="","",$W44-SUMIFS($X:$X,$A:$A,$A44))</f>
        <v/>
      </c>
      <c r="Z44" s="162" t="str">
        <f>IF(T44="","",
       IF(OR($T44=Referencias!$Y$20,$T44=Referencias!$Y$21),1,
       IF(OR($T44=Referencias!$Y$18,$T44=Referencias!$Y$19),( PI()*((V44*P44)+(2*0.48*( V44*((0+(V44-1))/2) ))) )/100,
            V44*Y44
)))</f>
        <v/>
      </c>
      <c r="AA44" s="167"/>
      <c r="AB44" s="162" t="str">
        <f t="shared" ref="AB44:AB45" si="18">IF(T44="","",Z44*U44*(1+AA44))</f>
        <v/>
      </c>
    </row>
    <row r="45" spans="1:28" ht="9" customHeight="1" x14ac:dyDescent="0.2">
      <c r="A45" s="206" t="s">
        <v>236</v>
      </c>
      <c r="B45" s="206"/>
      <c r="C45" s="206"/>
      <c r="D45" s="207"/>
      <c r="E45" s="207"/>
      <c r="F45" s="208"/>
      <c r="G45" s="206"/>
      <c r="H45" s="209"/>
      <c r="I45" s="206"/>
      <c r="J45" s="209"/>
      <c r="K45" s="209"/>
      <c r="L45" s="209"/>
      <c r="M45" s="206"/>
      <c r="N45" s="210"/>
      <c r="O45" s="209"/>
      <c r="P45" s="209"/>
      <c r="Q45" s="209"/>
      <c r="R45" s="211"/>
      <c r="S45" s="209"/>
      <c r="T45" s="209"/>
      <c r="U45" s="212"/>
      <c r="V45" s="213"/>
      <c r="W45" s="214" t="str">
        <f>IF($A45="",
        "",
        IF(T45="","",
                          IF(I45="Circular",PI()*(J45^2)/4,
                          IF(I45="Rectangular", J45*K45,
                          IF(I45="Irregular",  J45*K45,
                          IF(I45="Junta delgada",  J45*K45,
                          IF(I45="Junta steeldeck",(K45+(IF(L45=0,1,IF(L45=1,2.5,IF(L45=2,Referencias!$BA$19,IF(L45=3,Referencias!$BA$34,IF(L45=4,4.5,L45)))))/100 ))*J45,
                          IF(I45="Junta irregular", L45,
                          IF(I45="Junta perimetral", J45*(K45),
                             0
)))))))))</f>
        <v/>
      </c>
      <c r="X45" s="214" t="str">
        <f t="shared" si="16"/>
        <v/>
      </c>
      <c r="Y45" s="214" t="str">
        <f t="shared" si="17"/>
        <v/>
      </c>
      <c r="Z45" s="215" t="str">
        <f>IF(T45="","",
       IF(OR($T45=Referencias!$Y$20,$T45=Referencias!$Y$21),1,
       IF(OR($T45=Referencias!$Y$18,$T45=Referencias!$Y$19),( PI()*((V45*P45)+(2*0.48*( V45*((0+(V45-1))/2) ))) )/100,
            V45*Y45
)))</f>
        <v/>
      </c>
      <c r="AA45" s="216"/>
      <c r="AB45" s="215" t="str">
        <f t="shared" si="18"/>
        <v/>
      </c>
    </row>
    <row r="46" spans="1:28" ht="9" customHeight="1" x14ac:dyDescent="0.2">
      <c r="A46" s="206" t="s">
        <v>236</v>
      </c>
      <c r="B46" s="206"/>
      <c r="C46" s="206"/>
      <c r="D46" s="207"/>
      <c r="E46" s="207"/>
      <c r="F46" s="208"/>
      <c r="G46" s="206"/>
      <c r="H46" s="209"/>
      <c r="I46" s="206"/>
      <c r="J46" s="209"/>
      <c r="K46" s="209"/>
      <c r="L46" s="209"/>
      <c r="M46" s="206"/>
      <c r="N46" s="210"/>
      <c r="O46" s="209"/>
      <c r="P46" s="209"/>
      <c r="Q46" s="209"/>
      <c r="R46" s="211"/>
      <c r="S46" s="209"/>
      <c r="T46" s="209"/>
      <c r="U46" s="212"/>
      <c r="V46" s="213"/>
      <c r="W46" s="214" t="str">
        <f>IF($A46="",
        "",
        IF(T46="","",
                          IF(I46="Circular",PI()*(J46^2)/4,
                          IF(I46="Rectangular", J46*K46,
                          IF(I46="Irregular",  J46*K46,
                          IF(I46="Junta delgada",  J46*K46,
                          IF(I46="Junta steeldeck",(K46+(IF(L46=0,1,IF(L46=1,2.5,IF(L46=2,Referencias!$BA$19,IF(L46=3,Referencias!$BA$34,IF(L46=4,4.5,L46)))))/100 ))*J46,
                          IF(I46="Junta irregular", L46,
                          IF(I46="Junta perimetral", J46*(K46),
                             0
)))))))))</f>
        <v/>
      </c>
      <c r="X46" s="214" t="str">
        <f>IF($A46="",
        "",
              IF(M46="","",
               IF(IFERROR(SEARCH("bandeja",M46),0)&gt;0,              N46*P46*Q46*R46,
               IF(IFERROR(SEARCH("tubería",M46),0)&gt;0,                N46*PI()*(P46^2)/4,
               IF(IFERROR(SEARCH("circular",M46),0)&gt;0,               N46*PI()*(P46^2)/4,
               IF(IFERROR(SEARCH("rectangular",M46),0)&gt;0,       N46*P46*Q46,
               IF(IFERROR(SEARCH("cable",M46),0)&gt;0,                   N46*PI()*(P46^2)/4,
               IF(IFERROR(SEARCH("caja",M46),0)&gt;0,                      N46*P46*Q46,
               IF( IFERROR(SEARCH("blindobarra",M46),0)&gt;0,     N46*P46*Q46,
               IF( IFERROR(SEARCH("ninguno",M46),0)&gt;0,            0,
                    P46
))))))))))</f>
        <v/>
      </c>
      <c r="Y46" s="214" t="str">
        <f>IF(T46="","",$W46-SUMIFS($X:$X,$A:$A,$A46))</f>
        <v/>
      </c>
      <c r="Z46" s="215" t="str">
        <f>IF(T46="","",
       IF(OR($T46=Referencias!$Y$20,$T46=Referencias!$Y$21),1,
       IF(OR($T46=Referencias!$Y$18,$T46=Referencias!$Y$19),( PI()*((V46*P46)+(2*0.48*( V46*((0+(V46-1))/2) ))) )/100,
            V46*Y46
)))</f>
        <v/>
      </c>
      <c r="AA46" s="216"/>
      <c r="AB46" s="215" t="str">
        <f>IF(T46="","",Z46*U46*(1+AA46))</f>
        <v/>
      </c>
    </row>
    <row r="47" spans="1:28" ht="9" customHeight="1" x14ac:dyDescent="0.2">
      <c r="A47" s="206">
        <v>10</v>
      </c>
      <c r="B47" s="206"/>
      <c r="C47" s="206"/>
      <c r="D47" s="207"/>
      <c r="E47" s="207"/>
      <c r="F47" s="208"/>
      <c r="G47" s="206"/>
      <c r="H47" s="209"/>
      <c r="I47" s="206"/>
      <c r="J47" s="209"/>
      <c r="K47" s="209"/>
      <c r="L47" s="209"/>
      <c r="M47" s="206"/>
      <c r="N47" s="210"/>
      <c r="O47" s="209"/>
      <c r="P47" s="209"/>
      <c r="Q47" s="209"/>
      <c r="R47" s="211"/>
      <c r="S47" s="209"/>
      <c r="T47" s="209"/>
      <c r="U47" s="212"/>
      <c r="V47" s="213"/>
      <c r="W47" s="214" t="str">
        <f>IF($A47="",
        "",
        IF(T47="","",
                          IF(I47="Circular",PI()*(J47^2)/4,
                          IF(I47="Rectangular", J47*K47,
                          IF(I47="Irregular",  J47*K47,
                          IF(I47="Junta delgada",  J47*K47,
                          IF(I47="Junta steeldeck",(K47+(IF(L47=0,1,IF(L47=1,2.5,IF(L47=2,Referencias!$BA$19,IF(L47=3,Referencias!$BA$34,IF(L47=4,4.5,L47)))))/100 ))*J47,
                          IF(I47="Junta irregular", L47,
                          IF(I47="Junta perimetral", J47*(K47),
                             0
)))))))))</f>
        <v/>
      </c>
      <c r="X47" s="214" t="str">
        <f>IF($A47="",
        "",
              IF(M47="","",
               IF(IFERROR(SEARCH("bandeja",M47),0)&gt;0,              N47*P47*Q47*R47,
               IF(IFERROR(SEARCH("tubería",M47),0)&gt;0,                N47*PI()*(P47^2)/4,
               IF(IFERROR(SEARCH("circular",M47),0)&gt;0,               N47*PI()*(P47^2)/4,
               IF(IFERROR(SEARCH("rectangular",M47),0)&gt;0,       N47*P47*Q47,
               IF(IFERROR(SEARCH("cable",M47),0)&gt;0,                   N47*PI()*(P47^2)/4,
               IF(IFERROR(SEARCH("caja",M47),0)&gt;0,                      N47*P47*Q47,
               IF( IFERROR(SEARCH("blindobarra",M47),0)&gt;0,     N47*P47*Q47,
               IF( IFERROR(SEARCH("ninguno",M47),0)&gt;0,            0,
                    P47
))))))))))</f>
        <v/>
      </c>
      <c r="Y47" s="214" t="str">
        <f>IF(T47="","",$W47-SUMIFS($X:$X,$A:$A,$A47))</f>
        <v/>
      </c>
      <c r="Z47" s="215" t="str">
        <f>IF(T47="","",
       IF(OR($T47=Referencias!$Y$20,$T47=Referencias!$Y$21),1,
       IF(OR($T47=Referencias!$Y$18,$T47=Referencias!$Y$19),( PI()*((V47*P47)+(2*0.48*( V47*((0+(V47-1))/2) ))) )/100,
            V47*Y47
)))</f>
        <v/>
      </c>
      <c r="AA47" s="216"/>
      <c r="AB47" s="215" t="str">
        <f>IF(T47="","",Z47*U47*(1+AA47))</f>
        <v/>
      </c>
    </row>
    <row r="48" spans="1:28" ht="9" customHeight="1" x14ac:dyDescent="0.2">
      <c r="A48" s="206">
        <v>10</v>
      </c>
      <c r="B48" s="206"/>
      <c r="C48" s="206"/>
      <c r="D48" s="207"/>
      <c r="E48" s="207"/>
      <c r="F48" s="208"/>
      <c r="G48" s="206"/>
      <c r="H48" s="209"/>
      <c r="I48" s="206"/>
      <c r="J48" s="209"/>
      <c r="K48" s="209"/>
      <c r="L48" s="209"/>
      <c r="M48" s="206"/>
      <c r="N48" s="210"/>
      <c r="O48" s="209"/>
      <c r="P48" s="209"/>
      <c r="Q48" s="209"/>
      <c r="R48" s="211"/>
      <c r="S48" s="209"/>
      <c r="T48" s="209"/>
      <c r="U48" s="212"/>
      <c r="V48" s="213"/>
      <c r="W48" s="214" t="str">
        <f>IF($A48="",
        "",
        IF(T48="","",
                          IF(I48="Circular",PI()*(J48^2)/4,
                          IF(I48="Rectangular", J48*K48,
                          IF(I48="Irregular",  J48*K48,
                          IF(I48="Junta delgada",  J48*K48,
                          IF(I48="Junta steeldeck",(K48+(IF(L48=0,1,IF(L48=1,2.5,IF(L48=2,Referencias!$BA$19,IF(L48=3,Referencias!$BA$34,IF(L48=4,4.5,L48)))))/100 ))*J48,
                          IF(I48="Junta irregular", L48,
                          IF(I48="Junta perimetral", J48*(K48),
                             0
)))))))))</f>
        <v/>
      </c>
      <c r="X48" s="214" t="str">
        <f>IF($A48="",
        "",
              IF(M48="","",
               IF(IFERROR(SEARCH("bandeja",M48),0)&gt;0,              N48*P48*Q48*R48,
               IF(IFERROR(SEARCH("tubería",M48),0)&gt;0,                N48*PI()*(P48^2)/4,
               IF(IFERROR(SEARCH("circular",M48),0)&gt;0,               N48*PI()*(P48^2)/4,
               IF(IFERROR(SEARCH("rectangular",M48),0)&gt;0,       N48*P48*Q48,
               IF(IFERROR(SEARCH("cable",M48),0)&gt;0,                   N48*PI()*(P48^2)/4,
               IF(IFERROR(SEARCH("caja",M48),0)&gt;0,                      N48*P48*Q48,
               IF( IFERROR(SEARCH("blindobarra",M48),0)&gt;0,     N48*P48*Q48,
               IF( IFERROR(SEARCH("ninguno",M48),0)&gt;0,            0,
                    P48
))))))))))</f>
        <v/>
      </c>
      <c r="Y48" s="214" t="str">
        <f>IF(T48="","",$W48-SUMIFS($X:$X,$A:$A,$A48))</f>
        <v/>
      </c>
      <c r="Z48" s="215" t="str">
        <f>IF(T48="","",
       IF(OR($T48=Referencias!$Y$20,$T48=Referencias!$Y$21),1,
       IF(OR($T48=Referencias!$Y$18,$T48=Referencias!$Y$19),( PI()*((V48*P48)+(2*0.48*( V48*((0+(V48-1))/2) ))) )/100,
            V48*Y48
)))</f>
        <v/>
      </c>
      <c r="AA48" s="216"/>
      <c r="AB48" s="215" t="str">
        <f>IF(T48="","",Z48*U48*(1+AA48))</f>
        <v/>
      </c>
    </row>
  </sheetData>
  <sheetProtection formatCells="0" formatRows="0" insertRows="0" insertHyperlinks="0" deleteRows="0" selectLockedCells="1" sort="0" autoFilter="0" pivotTables="0"/>
  <dataConsolidate/>
  <mergeCells count="11">
    <mergeCell ref="F2:H2"/>
    <mergeCell ref="I2:S2"/>
    <mergeCell ref="A6:D6"/>
    <mergeCell ref="F5:S5"/>
    <mergeCell ref="F6:S6"/>
    <mergeCell ref="C4:D4"/>
    <mergeCell ref="C3:D3"/>
    <mergeCell ref="A3:B3"/>
    <mergeCell ref="A4:B4"/>
    <mergeCell ref="F3:S3"/>
    <mergeCell ref="F4:S4"/>
  </mergeCells>
  <phoneticPr fontId="3" type="noConversion"/>
  <conditionalFormatting sqref="J10:K48">
    <cfRule type="expression" dxfId="9" priority="489">
      <formula>$I10="Irregular"</formula>
    </cfRule>
  </conditionalFormatting>
  <conditionalFormatting sqref="A10:B48">
    <cfRule type="expression" dxfId="8" priority="13">
      <formula>$A10=$A9</formula>
    </cfRule>
  </conditionalFormatting>
  <conditionalFormatting sqref="P10:P48">
    <cfRule type="expression" dxfId="7" priority="1382">
      <formula>OR($M10="Componente mecanico",$M10="Otro")</formula>
    </cfRule>
  </conditionalFormatting>
  <conditionalFormatting sqref="L30:L43">
    <cfRule type="expression" dxfId="6" priority="237">
      <formula>$I30="Junta steeldeck"</formula>
    </cfRule>
  </conditionalFormatting>
  <conditionalFormatting sqref="A10:AB48">
    <cfRule type="expression" dxfId="5" priority="14">
      <formula>$A10&lt;&gt;$A11</formula>
    </cfRule>
    <cfRule type="expression" dxfId="4" priority="16">
      <formula>$A10=$A9</formula>
    </cfRule>
  </conditionalFormatting>
  <dataValidations count="6">
    <dataValidation type="list" allowBlank="1" showErrorMessage="1" errorTitle="Error de validación" error="Seleccione uno de los materiales indicados en la hoja de referencias." sqref="F10:F48">
      <formula1>MaterialBase</formula1>
    </dataValidation>
    <dataValidation type="list" allowBlank="1" showInputMessage="1" showErrorMessage="1" errorTitle="Error de validación" error="Por favor seleccione el tipo correcto de elemento base segun la tabla &quot;TIPO DE BASE&quot; en la hoja REFERENCIAS" promptTitle="Selección de TIPO" prompt="Muro               W_x000a_Muro-Muro    WW_x000a_Piso                  F_x000a_Piso-Muro       FW_x000a_Piso-Piso         FF_x000a_Techo              C_x000a_Techo-Muro   HW_x000a_Muro cortina  CW_x000a_" sqref="G10:G48">
      <formula1>ElementoBase</formula1>
    </dataValidation>
    <dataValidation type="list" allowBlank="1" showInputMessage="1" showErrorMessage="1" errorTitle="ATENCIÓN" error="Seleccione una forma geométrica válida." promptTitle="Según la selección de forma" prompt="_x000a_- Circular, Rectangular &amp; Irregular :_x000a_    X = longitud o diámetro_x000a_    Y = anchura_x000a_- Juntas :_x000a_    X = longitud_x000a_    Y = anchura_x000a_   η = altura de perfil en pulgadas (in)_x000a_          (solo steeldeck)" sqref="I10:I48">
      <formula1>FormasGeom</formula1>
    </dataValidation>
    <dataValidation type="list" allowBlank="1" showInputMessage="1" showErrorMessage="1" errorTitle="Error de validación" error="Seleccione uno de los pasantes comunes indicados en la hoja de referencias; o agregue uno que no se encuentre en la lista" prompt="- Pasantes circulares :_x000a_     a =  Diámetro_x000a_- Pasantes rectangulares o irregulares :_x000a_     a =  Longitud_x000a_     b =  Anchura_x000a_- Bandejas Porta-Cable :_x000a_     % =  Porcentaje de llenado_x000a_- Otros elementos :_x000a_     a =  valor de area (pre-calculado)" sqref="M10:M48">
      <formula1>PasantesComunes</formula1>
    </dataValidation>
    <dataValidation type="list" allowBlank="1" showErrorMessage="1" errorTitle="Error de validación" error="Seleccione uno de los productos Hilti indicados en la lista." sqref="T10:T48">
      <formula1>ProductosHilti</formula1>
    </dataValidation>
    <dataValidation type="list" errorStyle="information" allowBlank="1" showErrorMessage="1" errorTitle="VERIFICACIÓN DE INGRESO" error="Verifique que la información registrada corresponda con los formatos pre-establecidos o indique en los comentarios cualquier variación." sqref="O10:O48">
      <formula1>ActividadPasante</formula1>
    </dataValidation>
  </dataValidations>
  <pageMargins left="0.47244094488188981" right="0.47244094488188981" top="1.1811023622047245" bottom="0.78740157480314965" header="0.59055118110236227" footer="0.39370078740157483"/>
  <pageSetup fitToWidth="2" fitToHeight="0" pageOrder="overThenDown" orientation="portrait" r:id="rId1"/>
  <headerFooter differentOddEven="1">
    <oddHeader>&amp;L&amp;8
&amp;F
Informe de especificación de Sellos Cortafuego - SCF&amp;C&amp;"Arial Black,Regular"&amp;8&amp;KD10024— ESTE DOCUMENTO ES CONFIDENCIAL —
PLANILLA PARA USO INTERNO &amp;R&amp;G</oddHeader>
    <oddFooter>&amp;L&amp;"Arial,Negrita"Hilti Colombia S.A.S&amp;"Arial,Normal"
&amp;"Arial,Cursiva"&amp;9Departamento de Ingeniería&amp;C Página &amp;P de &amp;N&amp;R&amp;K01+010Memoria de Cálculo&amp;K01+000
&amp;"Arial,Cursiva"&amp;9&amp;KD10024Cantidades de Sellos Cortafuego</oddFooter>
    <evenHeader>&amp;L&amp;8
&amp;F
Planilla de inspección de Sellos Cortafuego - SCF&amp;C&amp;"Arial Black,Regular"&amp;8&amp;KD10024— ESTE DOCUMENTO ES CONFIDENCIAL —
PLANILLA PARA USO INTERNO &amp;R&amp;G</evenHeader>
    <evenFooter>&amp;L&amp;"Arial,Negrita"Hilti Colombia S.A.S&amp;"Arial,Normal"
&amp;"Arial,Cursiva"&amp;9Departamento de Ingeniería&amp;C Página &amp;P de &amp;N&amp;RMemoria de Cálculo
&amp;"Arial,Cursiva"&amp;9&amp;KD10024Cantidades de Sellos Cortafuego</evenFooter>
  </headerFooter>
  <legacyDrawingHF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488" operator="containsText" id="{92923FD8-7EAC-431B-9C55-DC973A29DC71}">
            <xm:f>NOT(ISERROR(SEARCH("Irregular",I30)))</xm:f>
            <xm:f>"Irregular"</xm:f>
            <x14:dxf>
              <font>
                <b/>
                <i val="0"/>
                <strike val="0"/>
                <color rgb="FFC00000"/>
              </font>
              <numFmt numFmtId="0" formatCode="General"/>
            </x14:dxf>
          </x14:cfRule>
          <xm:sqref>I30:I43</xm:sqref>
        </x14:conditionalFormatting>
        <x14:conditionalFormatting xmlns:xm="http://schemas.microsoft.com/office/excel/2006/main">
          <x14:cfRule type="expression" priority="1396" id="{A3909E35-AC3C-4E36-A69C-48C8A1904109}">
            <xm:f>OR($T10=Referencias!$Y$20,$T10=Referencias!$Y$21)</xm:f>
            <x14:dxf>
              <numFmt numFmtId="169" formatCode="0&quot; unid&quot;"/>
            </x14:dxf>
          </x14:cfRule>
          <x14:cfRule type="expression" priority="1408" id="{18F4F619-D177-46D5-B3A2-8244A319D7C9}">
            <xm:f>OR($T10=Referencias!$Y$18,$T10=Referencias!$Y$19)</xm:f>
            <x14:dxf>
              <numFmt numFmtId="165" formatCode="0.00&quot; m&quot;"/>
            </x14:dxf>
          </x14:cfRule>
          <xm:sqref>V10:V48 Z10:Z48 AB10:AB48</xm:sqref>
        </x14:conditionalFormatting>
        <x14:conditionalFormatting xmlns:xm="http://schemas.microsoft.com/office/excel/2006/main">
          <x14:cfRule type="expression" priority="1407" id="{26CCA6A8-642E-4DB8-BDDC-275134179CBF}">
            <xm:f>OR($T10=Referencias!$Y$18,$T10=Referencias!$Y$19)</xm:f>
            <x14:dxf>
              <numFmt numFmtId="178" formatCode="0&quot; vueltas&quot;"/>
            </x14:dxf>
          </x14:cfRule>
          <xm:sqref>V10:V48</xm:sqref>
        </x14:conditionalFormatting>
      </x14:conditionalFormattings>
    </ext>
    <ext xmlns:mx="http://schemas.microsoft.com/office/mac/excel/2008/main" uri="{64002731-A6B0-56B0-2670-7721B7C09600}">
      <mx:PLV Mode="1"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
    <pageSetUpPr fitToPage="1"/>
  </sheetPr>
  <dimension ref="A1:AM83"/>
  <sheetViews>
    <sheetView showGridLines="0" view="pageBreakPreview" topLeftCell="A46" zoomScaleNormal="100" zoomScaleSheetLayoutView="100" zoomScalePageLayoutView="92" workbookViewId="0">
      <selection activeCell="F62" sqref="F62"/>
    </sheetView>
  </sheetViews>
  <sheetFormatPr defaultColWidth="0" defaultRowHeight="15" x14ac:dyDescent="0.2"/>
  <cols>
    <col min="1" max="1" width="10.85546875" style="3" customWidth="1"/>
    <col min="2" max="2" width="15.7109375" style="3" customWidth="1"/>
    <col min="3" max="3" width="12.85546875" style="3" customWidth="1"/>
    <col min="4" max="4" width="25.7109375" style="3" customWidth="1"/>
    <col min="5" max="5" width="14.28515625" style="3" customWidth="1"/>
    <col min="6" max="7" width="12.85546875" style="3" customWidth="1"/>
    <col min="8" max="8" width="21.140625" style="11" bestFit="1" customWidth="1"/>
    <col min="9" max="9" width="17.140625" style="11" customWidth="1"/>
    <col min="10" max="10" width="27.7109375" style="11" bestFit="1" customWidth="1"/>
    <col min="11" max="11" width="18.5703125" style="11" customWidth="1"/>
    <col min="12" max="12" width="9" style="11" customWidth="1"/>
    <col min="13" max="13" width="9.140625" style="11" customWidth="1"/>
    <col min="14" max="16384" width="0" style="11" hidden="1"/>
  </cols>
  <sheetData>
    <row r="1" spans="1:39" s="101" customFormat="1" ht="3.75" customHeight="1" thickBot="1" x14ac:dyDescent="0.25">
      <c r="I1" s="104"/>
      <c r="J1" s="104"/>
      <c r="K1" s="104"/>
      <c r="L1" s="104"/>
      <c r="M1" s="104"/>
      <c r="N1" s="104"/>
      <c r="O1" s="104"/>
      <c r="P1" s="104"/>
      <c r="Q1" s="104"/>
      <c r="R1" s="104"/>
      <c r="S1" s="102"/>
      <c r="T1" s="102"/>
      <c r="U1" s="102"/>
      <c r="V1" s="102"/>
      <c r="W1" s="102"/>
      <c r="X1" s="102"/>
      <c r="Y1" s="102"/>
      <c r="Z1" s="102"/>
      <c r="AA1" s="102"/>
      <c r="AB1" s="102"/>
      <c r="AC1" s="102"/>
      <c r="AD1" s="102"/>
      <c r="AE1" s="102"/>
      <c r="AF1" s="102"/>
      <c r="AG1" s="102"/>
      <c r="AH1" s="102"/>
      <c r="AI1" s="102"/>
      <c r="AJ1" s="102"/>
      <c r="AK1" s="102"/>
      <c r="AL1" s="102"/>
      <c r="AM1" s="102"/>
    </row>
    <row r="2" spans="1:39" s="102" customFormat="1" ht="14.25" x14ac:dyDescent="0.25">
      <c r="A2" s="105" t="s">
        <v>170</v>
      </c>
      <c r="B2" s="105"/>
      <c r="C2" s="106"/>
      <c r="D2" s="107" t="s">
        <v>171</v>
      </c>
      <c r="E2" s="106"/>
      <c r="F2" s="232" t="s">
        <v>172</v>
      </c>
      <c r="G2" s="232"/>
      <c r="I2" s="104"/>
      <c r="J2" s="104"/>
      <c r="K2" s="104"/>
      <c r="L2" s="104"/>
      <c r="M2" s="104"/>
      <c r="N2" s="104"/>
      <c r="O2" s="104"/>
      <c r="P2" s="104"/>
      <c r="Q2" s="104"/>
      <c r="R2" s="104"/>
    </row>
    <row r="3" spans="1:39" s="102" customFormat="1" ht="12.75" customHeight="1" x14ac:dyDescent="0.2">
      <c r="A3" s="237" t="str">
        <f>'Informe - Planilla'!A3</f>
        <v>CLIENTE</v>
      </c>
      <c r="B3" s="237"/>
      <c r="C3" s="237"/>
      <c r="D3" s="237" t="str">
        <f>'Informe - Planilla'!C3</f>
        <v>DEPARTAMENTO</v>
      </c>
      <c r="E3" s="237"/>
      <c r="F3" s="233">
        <f ca="1">TODAY()</f>
        <v>42432</v>
      </c>
      <c r="G3" s="233"/>
      <c r="I3" s="104"/>
      <c r="J3" s="104"/>
      <c r="K3" s="104"/>
      <c r="L3" s="104"/>
      <c r="M3" s="104"/>
      <c r="N3" s="104"/>
      <c r="O3" s="104"/>
      <c r="P3" s="104"/>
      <c r="Q3" s="104"/>
      <c r="R3" s="104"/>
    </row>
    <row r="4" spans="1:39" s="102" customFormat="1" ht="13.5" customHeight="1" thickBot="1" x14ac:dyDescent="0.25">
      <c r="A4" s="240" t="str">
        <f>'Informe - Planilla'!A4</f>
        <v>Nombre de destinatario</v>
      </c>
      <c r="B4" s="240"/>
      <c r="C4" s="240"/>
      <c r="D4" s="241" t="str">
        <f>'Informe - Planilla'!C4</f>
        <v>Nombre de remitente</v>
      </c>
      <c r="E4" s="241"/>
      <c r="F4" s="235"/>
      <c r="G4" s="235"/>
      <c r="I4" s="104"/>
      <c r="J4" s="104"/>
      <c r="K4" s="104"/>
      <c r="L4" s="104"/>
      <c r="M4" s="104"/>
      <c r="N4" s="104"/>
      <c r="O4" s="104"/>
      <c r="P4" s="104"/>
      <c r="Q4" s="104"/>
      <c r="R4" s="104"/>
    </row>
    <row r="5" spans="1:39" s="102" customFormat="1" ht="12.75" customHeight="1" x14ac:dyDescent="0.25">
      <c r="A5" s="105" t="s">
        <v>174</v>
      </c>
      <c r="B5" s="105"/>
      <c r="C5" s="106"/>
      <c r="D5" s="106"/>
      <c r="E5" s="106"/>
      <c r="F5" s="232" t="s">
        <v>175</v>
      </c>
      <c r="G5" s="232"/>
      <c r="I5" s="104"/>
      <c r="J5" s="104"/>
      <c r="K5" s="104"/>
      <c r="L5" s="104"/>
      <c r="M5" s="104"/>
      <c r="N5" s="104"/>
      <c r="O5" s="104"/>
      <c r="P5" s="104"/>
      <c r="Q5" s="104"/>
      <c r="R5" s="104"/>
    </row>
    <row r="6" spans="1:39" s="102" customFormat="1" ht="13.5" customHeight="1" thickBot="1" x14ac:dyDescent="0.25">
      <c r="A6" s="242" t="str">
        <f>'Informe - Planilla'!A6</f>
        <v>Descripción del proyecto; incluir nombre de la obra/proyecto.</v>
      </c>
      <c r="B6" s="242"/>
      <c r="C6" s="242"/>
      <c r="D6" s="242">
        <f>'Informe - Planilla'!C6:D6</f>
        <v>0</v>
      </c>
      <c r="E6" s="242"/>
      <c r="F6" s="234" t="str">
        <f>'Informe - Planilla'!E6</f>
        <v>HES-FS-…</v>
      </c>
      <c r="G6" s="234"/>
      <c r="I6" s="104"/>
      <c r="J6" s="104"/>
      <c r="K6" s="104"/>
      <c r="L6" s="104"/>
      <c r="M6" s="104"/>
      <c r="N6" s="104"/>
      <c r="O6" s="104"/>
      <c r="P6" s="104"/>
      <c r="Q6" s="104"/>
      <c r="R6" s="104"/>
    </row>
    <row r="7" spans="1:39" s="102" customFormat="1" ht="7.5" customHeight="1" x14ac:dyDescent="0.2">
      <c r="A7" s="112"/>
      <c r="B7" s="112"/>
      <c r="C7" s="112"/>
      <c r="D7" s="112"/>
      <c r="E7" s="112"/>
      <c r="F7" s="112"/>
      <c r="G7" s="109"/>
      <c r="I7" s="104"/>
      <c r="J7" s="104"/>
      <c r="K7" s="104"/>
      <c r="L7" s="104"/>
      <c r="M7" s="104"/>
      <c r="N7" s="104"/>
      <c r="O7" s="104"/>
      <c r="P7" s="104"/>
      <c r="Q7" s="104"/>
      <c r="R7" s="104"/>
    </row>
    <row r="8" spans="1:39" ht="18.75" customHeight="1" x14ac:dyDescent="0.2">
      <c r="A8" s="6"/>
      <c r="B8" s="6"/>
      <c r="C8" s="6"/>
      <c r="D8" s="6"/>
      <c r="E8" s="6"/>
      <c r="F8" s="6"/>
      <c r="G8" s="109"/>
    </row>
    <row r="9" spans="1:39" ht="18.75" customHeight="1" x14ac:dyDescent="0.2">
      <c r="A9" s="231" t="s">
        <v>101</v>
      </c>
      <c r="B9" s="231"/>
      <c r="C9" s="231"/>
      <c r="D9" s="231"/>
      <c r="E9" s="231"/>
      <c r="F9" s="231"/>
      <c r="G9" s="231"/>
    </row>
    <row r="10" spans="1:39" s="9" customFormat="1" ht="27" customHeight="1" x14ac:dyDescent="0.2">
      <c r="A10" s="7"/>
      <c r="B10" s="7"/>
      <c r="C10" s="7"/>
      <c r="D10" s="7"/>
      <c r="E10" s="7"/>
      <c r="F10" s="7"/>
      <c r="G10" s="109"/>
      <c r="H10" s="11"/>
      <c r="I10" s="11"/>
      <c r="J10" s="11"/>
      <c r="K10" s="11"/>
      <c r="L10" s="11"/>
      <c r="M10" s="11"/>
    </row>
    <row r="11" spans="1:39" x14ac:dyDescent="0.2">
      <c r="A11" s="224" t="s">
        <v>104</v>
      </c>
      <c r="B11" s="224"/>
      <c r="C11" s="224"/>
      <c r="D11" s="224"/>
      <c r="E11" s="224"/>
      <c r="G11" s="109"/>
    </row>
    <row r="12" spans="1:39" x14ac:dyDescent="0.2">
      <c r="G12" s="109"/>
    </row>
    <row r="13" spans="1:39" x14ac:dyDescent="0.2">
      <c r="A13" s="230" t="s">
        <v>213</v>
      </c>
      <c r="B13" s="230"/>
      <c r="C13" s="230"/>
      <c r="D13" s="230"/>
      <c r="E13" s="230"/>
      <c r="F13" s="230"/>
      <c r="G13" s="230"/>
    </row>
    <row r="14" spans="1:39" ht="15" customHeight="1" x14ac:dyDescent="0.2">
      <c r="A14" s="230"/>
      <c r="B14" s="230"/>
      <c r="C14" s="230"/>
      <c r="D14" s="230"/>
      <c r="E14" s="230"/>
      <c r="F14" s="230"/>
      <c r="G14" s="230"/>
    </row>
    <row r="15" spans="1:39" ht="15" customHeight="1" x14ac:dyDescent="0.2">
      <c r="A15" s="230" t="s">
        <v>214</v>
      </c>
      <c r="B15" s="230"/>
      <c r="C15" s="230"/>
      <c r="D15" s="230"/>
      <c r="E15" s="230"/>
      <c r="F15" s="230"/>
      <c r="G15" s="230"/>
    </row>
    <row r="16" spans="1:39" ht="15" customHeight="1" x14ac:dyDescent="0.2">
      <c r="A16" s="230"/>
      <c r="B16" s="230"/>
      <c r="C16" s="230"/>
      <c r="D16" s="230"/>
      <c r="E16" s="230"/>
      <c r="F16" s="230"/>
      <c r="G16" s="230"/>
    </row>
    <row r="17" spans="1:13" ht="15" customHeight="1" x14ac:dyDescent="0.2">
      <c r="A17" s="230" t="s">
        <v>211</v>
      </c>
      <c r="B17" s="230"/>
      <c r="C17" s="230"/>
      <c r="D17" s="230"/>
      <c r="E17" s="230"/>
      <c r="F17" s="230"/>
      <c r="G17" s="230"/>
    </row>
    <row r="18" spans="1:13" x14ac:dyDescent="0.2">
      <c r="A18" s="230" t="s">
        <v>212</v>
      </c>
      <c r="B18" s="230"/>
      <c r="C18" s="230"/>
      <c r="D18" s="230"/>
      <c r="E18" s="230"/>
      <c r="F18" s="230"/>
      <c r="G18" s="230"/>
    </row>
    <row r="19" spans="1:13" s="9" customFormat="1" x14ac:dyDescent="0.2">
      <c r="A19" s="7"/>
      <c r="B19" s="7"/>
      <c r="C19" s="7"/>
      <c r="D19" s="7"/>
      <c r="E19" s="7"/>
      <c r="F19" s="7"/>
      <c r="G19" s="109"/>
      <c r="H19" s="11"/>
      <c r="I19" s="11"/>
      <c r="J19" s="11"/>
      <c r="K19" s="11"/>
      <c r="L19" s="11"/>
      <c r="M19" s="11"/>
    </row>
    <row r="20" spans="1:13" x14ac:dyDescent="0.2">
      <c r="A20" s="224" t="s">
        <v>139</v>
      </c>
      <c r="B20" s="224"/>
      <c r="C20" s="224"/>
      <c r="D20" s="224"/>
      <c r="E20" s="224"/>
      <c r="G20" s="109"/>
    </row>
    <row r="21" spans="1:13" s="9" customFormat="1" x14ac:dyDescent="0.2">
      <c r="A21" s="4"/>
      <c r="B21" s="4"/>
      <c r="C21" s="4"/>
      <c r="D21" s="4"/>
      <c r="E21" s="4"/>
      <c r="F21" s="4"/>
      <c r="G21" s="109"/>
      <c r="H21" s="11"/>
      <c r="I21" s="11"/>
      <c r="J21" s="11"/>
      <c r="K21" s="11"/>
      <c r="L21" s="11"/>
      <c r="M21" s="11"/>
    </row>
    <row r="22" spans="1:13" ht="45" customHeight="1" x14ac:dyDescent="0.2">
      <c r="A22" s="229" t="s">
        <v>188</v>
      </c>
      <c r="B22" s="229"/>
      <c r="C22" s="229"/>
      <c r="D22" s="229"/>
      <c r="E22" s="229"/>
      <c r="F22" s="229"/>
      <c r="G22" s="229"/>
    </row>
    <row r="23" spans="1:13" x14ac:dyDescent="0.2">
      <c r="A23" s="131"/>
      <c r="B23" s="131"/>
      <c r="C23" s="131"/>
      <c r="D23" s="131"/>
      <c r="E23" s="131"/>
      <c r="F23" s="131"/>
      <c r="G23" s="109"/>
    </row>
    <row r="24" spans="1:13" s="119" customFormat="1" ht="12.75" x14ac:dyDescent="0.2">
      <c r="A24" s="115"/>
      <c r="B24" s="116"/>
      <c r="C24" s="117" t="s">
        <v>190</v>
      </c>
      <c r="D24" s="118"/>
      <c r="F24" s="120"/>
      <c r="G24" s="109"/>
      <c r="H24" s="121"/>
      <c r="I24" s="121"/>
      <c r="J24" s="121"/>
      <c r="K24" s="121"/>
      <c r="L24" s="121"/>
      <c r="M24" s="121"/>
    </row>
    <row r="25" spans="1:13" s="119" customFormat="1" ht="3.75" customHeight="1" thickBot="1" x14ac:dyDescent="0.25">
      <c r="B25" s="122"/>
      <c r="C25" s="122"/>
      <c r="D25" s="122"/>
      <c r="E25" s="122"/>
      <c r="F25" s="120"/>
      <c r="G25" s="109"/>
      <c r="H25" s="121"/>
      <c r="I25" s="121"/>
      <c r="J25" s="121"/>
      <c r="K25" s="121"/>
      <c r="L25" s="121"/>
      <c r="M25" s="121"/>
    </row>
    <row r="26" spans="1:13" s="121" customFormat="1" ht="9" customHeight="1" x14ac:dyDescent="0.2">
      <c r="A26" s="119"/>
      <c r="B26" s="123"/>
      <c r="C26" s="124"/>
      <c r="D26" s="125" t="str">
        <f>IF(SUMIF('Informe - Planilla'!$O:$O,C26,'Informe - Planilla'!$P:$P)&lt;=0,"",SUMIF('Informe - Planilla'!$O:$O,C26,'Informe - Planilla'!$P:$P))</f>
        <v/>
      </c>
      <c r="F26" s="120"/>
      <c r="G26" s="109"/>
    </row>
    <row r="27" spans="1:13" s="119" customFormat="1" ht="12.75" x14ac:dyDescent="0.2">
      <c r="B27" s="126" t="str">
        <f>IF((COUNTIFS('Informe - Planilla'!$I:$I,"Rectangular",'Informe - Planilla'!$G:$G,"&lt;&gt;"&amp;"")+COUNTIFS('Informe - Planilla'!$I:$I,"Circular",'Informe - Planilla'!$G:$G,"&lt;&gt;"&amp;"")+COUNTIFS('Informe - Planilla'!$I:$I,"Irregular",'Informe - Planilla'!$G:$G,"&lt;&gt;"&amp;""))&lt;=0,"",COUNTIFS('Informe - Planilla'!$I:$I,"Rectangular",'Informe - Planilla'!$G:$G,"&lt;&gt;"&amp;"")+COUNTIFS('Informe - Planilla'!$I:$I,"Circular",'Informe - Planilla'!$G:$G,"&lt;&gt;"&amp;"")+COUNTIFS('Informe - Planilla'!$I:$I,"Irregular",'Informe - Planilla'!$G:$G,"&lt;&gt;"&amp;""))</f>
        <v/>
      </c>
      <c r="C27" s="127" t="s">
        <v>160</v>
      </c>
      <c r="E27" s="128"/>
      <c r="F27" s="120"/>
      <c r="G27" s="109"/>
      <c r="H27" s="121"/>
      <c r="I27" s="121"/>
      <c r="J27" s="121"/>
      <c r="K27" s="121"/>
      <c r="L27" s="121"/>
      <c r="M27" s="121"/>
    </row>
    <row r="28" spans="1:13" s="119" customFormat="1" ht="12.75" x14ac:dyDescent="0.2">
      <c r="B28" s="126" t="str">
        <f>IF(COUNTIFS('Informe - Planilla'!$I:$I,"Junta delgada",'Informe - Planilla'!$G:$G,"&lt;&gt;"&amp;"")+COUNTIFS('Informe - Planilla'!$I:$I,"Junta steeldeck",'Informe - Planilla'!$G:$G,"&lt;&gt;"&amp;"")+COUNTIFS('Informe - Planilla'!$I:$I,"Junta irregular",'Informe - Planilla'!$G:$G,"&lt;&gt;"&amp;"")&lt;=0,"",COUNTIFS('Informe - Planilla'!$I:$I,"Junta delgada",'Informe - Planilla'!$G:$G,"&lt;&gt;"&amp;"")+COUNTIFS('Informe - Planilla'!$I:$I,"Junta steeldeck",'Informe - Planilla'!$G:$G,"&lt;&gt;"&amp;"")+COUNTIFS('Informe - Planilla'!$I:$I,"Junta irregular",'Informe - Planilla'!$G:$G,"&lt;&gt;"&amp;""))</f>
        <v/>
      </c>
      <c r="C28" s="127" t="s">
        <v>135</v>
      </c>
      <c r="E28" s="128"/>
      <c r="F28" s="120"/>
      <c r="G28" s="109"/>
      <c r="H28" s="121"/>
      <c r="I28" s="121"/>
      <c r="J28" s="121"/>
      <c r="K28" s="121"/>
      <c r="L28" s="121"/>
      <c r="M28" s="121"/>
    </row>
    <row r="29" spans="1:13" s="119" customFormat="1" ht="15.75" customHeight="1" x14ac:dyDescent="0.2">
      <c r="B29" s="126" t="str">
        <f>IF(COUNTIFS('Informe - Planilla'!$I:$I,"Junta perimetral",'Informe - Planilla'!$G:$G,"&lt;&gt;"&amp;"")&lt;=0,"",COUNTIFS('Informe - Planilla'!$I:$I,"Junta perimetral",'Informe - Planilla'!$G:$G,"&lt;&gt;"&amp;""))</f>
        <v/>
      </c>
      <c r="C29" s="127" t="s">
        <v>159</v>
      </c>
      <c r="D29" s="120"/>
      <c r="E29" s="128"/>
      <c r="F29" s="120"/>
      <c r="G29" s="109"/>
      <c r="H29" s="121"/>
      <c r="I29" s="121"/>
      <c r="J29" s="121"/>
      <c r="K29" s="121"/>
      <c r="L29" s="121"/>
      <c r="M29" s="121"/>
    </row>
    <row r="30" spans="1:13" s="121" customFormat="1" ht="9" customHeight="1" x14ac:dyDescent="0.2">
      <c r="A30" s="119"/>
      <c r="B30" s="123"/>
      <c r="C30" s="124"/>
      <c r="D30" s="125" t="str">
        <f>IF(SUMIF('Informe - Planilla'!$O:$O,C30,'Informe - Planilla'!$P:$P)&lt;=0,"",SUMIF('Informe - Planilla'!$O:$O,C30,'Informe - Planilla'!$P:$P))</f>
        <v/>
      </c>
      <c r="F30" s="120"/>
      <c r="G30" s="109"/>
    </row>
    <row r="31" spans="1:13" s="121" customFormat="1" ht="15" customHeight="1" x14ac:dyDescent="0.2">
      <c r="B31" s="126" t="str">
        <f>IF(SUMIF('Informe - Planilla'!$M:$M,C31,'Informe - Planilla'!$N:$N)&lt;=0,"",SUMIF('Informe - Planilla'!$M:$M,C31,'Informe - Planilla'!$N:$N))</f>
        <v/>
      </c>
      <c r="C31" s="129" t="str">
        <f>Referencias!$U6</f>
        <v>Ninguno (Blank)</v>
      </c>
      <c r="F31" s="120"/>
      <c r="G31" s="109"/>
    </row>
    <row r="32" spans="1:13" s="121" customFormat="1" ht="15" customHeight="1" x14ac:dyDescent="0.2">
      <c r="B32" s="126">
        <f>IF(SUMIF('Informe - Planilla'!$M:$M,C32,'Informe - Planilla'!$N:$N)&lt;=0,"",SUMIF('Informe - Planilla'!$M:$M,C32,'Informe - Planilla'!$N:$N))</f>
        <v>1</v>
      </c>
      <c r="C32" s="129" t="str">
        <f>Referencias!$U7</f>
        <v>Bandeja PC</v>
      </c>
      <c r="F32" s="120"/>
      <c r="G32" s="109"/>
    </row>
    <row r="33" spans="1:7" s="121" customFormat="1" ht="15" customHeight="1" x14ac:dyDescent="0.2">
      <c r="B33" s="126" t="str">
        <f>IF(SUMIF('Informe - Planilla'!$M:$M,C33,'Informe - Planilla'!$N:$N)&lt;=0,"",SUMIF('Informe - Planilla'!$M:$M,C33,'Informe - Planilla'!$N:$N))</f>
        <v/>
      </c>
      <c r="C33" s="129" t="str">
        <f>Referencias!$U8</f>
        <v>Blindobarra</v>
      </c>
      <c r="F33" s="120"/>
      <c r="G33" s="109"/>
    </row>
    <row r="34" spans="1:7" s="121" customFormat="1" ht="15" customHeight="1" x14ac:dyDescent="0.2">
      <c r="B34" s="126" t="str">
        <f>IF(SUMIF('Informe - Planilla'!$M:$M,C34,'Informe - Planilla'!$N:$N)&lt;=0,"",SUMIF('Informe - Planilla'!$M:$M,C34,'Informe - Planilla'!$N:$N))</f>
        <v/>
      </c>
      <c r="C34" s="129" t="str">
        <f>Referencias!$U9</f>
        <v>Cable/Grupo de cables</v>
      </c>
      <c r="F34" s="120"/>
      <c r="G34" s="109"/>
    </row>
    <row r="35" spans="1:7" s="121" customFormat="1" ht="15" customHeight="1" x14ac:dyDescent="0.2">
      <c r="B35" s="126" t="str">
        <f>IF(SUMIF('Informe - Planilla'!$M:$M,C35,'Informe - Planilla'!$N:$N)&lt;=0,"",SUMIF('Informe - Planilla'!$M:$M,C35,'Informe - Planilla'!$N:$N))</f>
        <v/>
      </c>
      <c r="C35" s="129" t="str">
        <f>Referencias!$U10</f>
        <v>Ducto circular</v>
      </c>
      <c r="F35" s="120"/>
      <c r="G35" s="109"/>
    </row>
    <row r="36" spans="1:7" s="121" customFormat="1" ht="15" customHeight="1" x14ac:dyDescent="0.2">
      <c r="B36" s="126" t="str">
        <f>IF(SUMIF('Informe - Planilla'!$M:$M,C36,'Informe - Planilla'!$N:$N)&lt;=0,"",SUMIF('Informe - Planilla'!$M:$M,C36,'Informe - Planilla'!$N:$N))</f>
        <v/>
      </c>
      <c r="C36" s="129" t="str">
        <f>Referencias!$U11</f>
        <v>Ducto rectangular</v>
      </c>
      <c r="F36" s="120"/>
      <c r="G36" s="109"/>
    </row>
    <row r="37" spans="1:7" s="121" customFormat="1" ht="15" customHeight="1" x14ac:dyDescent="0.2">
      <c r="B37" s="126">
        <f>IF(SUMIF('Informe - Planilla'!$M:$M,C37,'Informe - Planilla'!$N:$N)&lt;=0,"",SUMIF('Informe - Planilla'!$M:$M,C37,'Informe - Planilla'!$N:$N))</f>
        <v>1</v>
      </c>
      <c r="C37" s="129" t="str">
        <f>Referencias!$U12</f>
        <v>Tubería metal</v>
      </c>
      <c r="F37" s="120"/>
      <c r="G37" s="109"/>
    </row>
    <row r="38" spans="1:7" s="121" customFormat="1" ht="15" customHeight="1" x14ac:dyDescent="0.2">
      <c r="B38" s="126">
        <f>IF(SUMIF('Informe - Planilla'!$M:$M,C38,'Informe - Planilla'!$N:$N)&lt;=0,"",SUMIF('Informe - Planilla'!$M:$M,C38,'Informe - Planilla'!$N:$N))</f>
        <v>1</v>
      </c>
      <c r="C38" s="129" t="str">
        <f>Referencias!$U13</f>
        <v>Tubería no metal</v>
      </c>
      <c r="F38" s="120"/>
      <c r="G38" s="109"/>
    </row>
    <row r="39" spans="1:7" s="121" customFormat="1" ht="15" customHeight="1" x14ac:dyDescent="0.2">
      <c r="B39" s="126" t="str">
        <f>IF(SUMIF('Informe - Planilla'!$M:$M,C39,'Informe - Planilla'!$N:$N)&lt;=0,"",SUMIF('Informe - Planilla'!$M:$M,C39,'Informe - Planilla'!$N:$N))</f>
        <v/>
      </c>
      <c r="C39" s="129" t="str">
        <f>Referencias!$U14</f>
        <v>Tubería metal aislada</v>
      </c>
      <c r="F39" s="120"/>
      <c r="G39" s="109"/>
    </row>
    <row r="40" spans="1:7" s="121" customFormat="1" ht="15" customHeight="1" x14ac:dyDescent="0.2">
      <c r="B40" s="126" t="str">
        <f>IF(SUMIF('Informe - Planilla'!$M:$M,C40,'Informe - Planilla'!$N:$N)&lt;=0,"",SUMIF('Informe - Planilla'!$M:$M,C40,'Informe - Planilla'!$N:$N))</f>
        <v/>
      </c>
      <c r="C40" s="129" t="str">
        <f>Referencias!$U15</f>
        <v>Tubería no metal aislada</v>
      </c>
      <c r="F40" s="120"/>
      <c r="G40" s="109"/>
    </row>
    <row r="41" spans="1:7" s="121" customFormat="1" ht="15" customHeight="1" x14ac:dyDescent="0.2">
      <c r="B41" s="126" t="str">
        <f>IF(SUMIF('Informe - Planilla'!$M:$M,C41,'Informe - Planilla'!$N:$N)&lt;=0,"",SUMIF('Informe - Planilla'!$M:$M,C41,'Informe - Planilla'!$N:$N))</f>
        <v/>
      </c>
      <c r="C41" s="129" t="str">
        <f>Referencias!$U16</f>
        <v>Tubería hidro-llena</v>
      </c>
      <c r="F41" s="120"/>
      <c r="G41" s="109"/>
    </row>
    <row r="42" spans="1:7" s="121" customFormat="1" ht="15" customHeight="1" x14ac:dyDescent="0.2">
      <c r="B42" s="126" t="str">
        <f>IF(SUMIF('Informe - Planilla'!$M:$M,C42,'Informe - Planilla'!$N:$N)&lt;=0,"",SUMIF('Informe - Planilla'!$M:$M,C42,'Informe - Planilla'!$N:$N))</f>
        <v/>
      </c>
      <c r="C42" s="129" t="str">
        <f>Referencias!$U17</f>
        <v>Tubería hidro-parcial</v>
      </c>
      <c r="F42" s="120"/>
      <c r="G42" s="109"/>
    </row>
    <row r="43" spans="1:7" s="121" customFormat="1" ht="15" customHeight="1" x14ac:dyDescent="0.2">
      <c r="B43" s="126" t="str">
        <f>IF(SUMIF('Informe - Planilla'!$M:$M,C43,'Informe - Planilla'!$N:$N)&lt;=0,"",SUMIF('Informe - Planilla'!$M:$M,C43,'Informe - Planilla'!$N:$N))</f>
        <v/>
      </c>
      <c r="C43" s="129" t="str">
        <f>Referencias!$U18</f>
        <v>Caja (interruptor u otros)</v>
      </c>
      <c r="F43" s="120"/>
      <c r="G43" s="109"/>
    </row>
    <row r="44" spans="1:7" s="121" customFormat="1" ht="15" customHeight="1" x14ac:dyDescent="0.2">
      <c r="B44" s="126" t="str">
        <f>IF(SUMIF('Informe - Planilla'!$M:$M,C44,'Informe - Planilla'!$N:$N)&lt;=0,"",SUMIF('Informe - Planilla'!$M:$M,C44,'Informe - Planilla'!$N:$N))</f>
        <v/>
      </c>
      <c r="C44" s="129" t="str">
        <f>Referencias!$U19</f>
        <v>Componente mecanico</v>
      </c>
      <c r="F44" s="120"/>
      <c r="G44" s="109"/>
    </row>
    <row r="45" spans="1:7" s="121" customFormat="1" ht="15" customHeight="1" x14ac:dyDescent="0.2">
      <c r="B45" s="126" t="str">
        <f>IF(SUMIF('Informe - Planilla'!$M:$M,C45,'Informe - Planilla'!$N:$N)&lt;=0,"",SUMIF('Informe - Planilla'!$M:$M,C45,'Informe - Planilla'!$N:$N))</f>
        <v/>
      </c>
      <c r="C45" s="129" t="str">
        <f>Referencias!$U20</f>
        <v>Otro</v>
      </c>
      <c r="F45" s="120"/>
      <c r="G45" s="109"/>
    </row>
    <row r="46" spans="1:7" s="9" customFormat="1" x14ac:dyDescent="0.2">
      <c r="A46" s="7"/>
      <c r="B46" s="7"/>
      <c r="C46" s="7"/>
      <c r="D46" s="7"/>
      <c r="E46" s="7"/>
      <c r="F46" s="7"/>
      <c r="G46" s="109"/>
    </row>
    <row r="47" spans="1:7" s="9" customFormat="1" x14ac:dyDescent="0.2">
      <c r="A47" s="7"/>
      <c r="B47" s="7"/>
      <c r="C47" s="7"/>
      <c r="D47" s="7"/>
      <c r="E47" s="7"/>
      <c r="F47" s="7"/>
      <c r="G47" s="109"/>
    </row>
    <row r="48" spans="1:7" x14ac:dyDescent="0.2">
      <c r="A48" s="224" t="s">
        <v>100</v>
      </c>
      <c r="B48" s="224"/>
      <c r="C48" s="224"/>
      <c r="D48" s="224"/>
      <c r="E48" s="224"/>
      <c r="G48" s="109"/>
    </row>
    <row r="49" spans="1:11" x14ac:dyDescent="0.2">
      <c r="A49" s="4"/>
      <c r="B49" s="4"/>
      <c r="C49" s="4"/>
      <c r="D49" s="4"/>
      <c r="E49" s="4"/>
      <c r="F49" s="4"/>
      <c r="G49" s="109"/>
    </row>
    <row r="50" spans="1:11" ht="15.75" thickBot="1" x14ac:dyDescent="0.25">
      <c r="A50" s="4"/>
      <c r="G50" s="109"/>
      <c r="H50" s="9"/>
      <c r="K50" s="9"/>
    </row>
    <row r="51" spans="1:11" ht="15" customHeight="1" x14ac:dyDescent="0.2">
      <c r="A51" s="4"/>
      <c r="B51" s="239" t="s">
        <v>109</v>
      </c>
      <c r="C51" s="239"/>
      <c r="D51" s="227" t="s">
        <v>107</v>
      </c>
      <c r="E51" s="227" t="s">
        <v>137</v>
      </c>
      <c r="F51" s="227"/>
      <c r="G51" s="109"/>
      <c r="H51" s="9"/>
      <c r="I51" s="225" t="s">
        <v>207</v>
      </c>
      <c r="J51" s="227" t="s">
        <v>208</v>
      </c>
      <c r="K51" s="9"/>
    </row>
    <row r="52" spans="1:11" ht="15.75" thickBot="1" x14ac:dyDescent="0.25">
      <c r="A52" s="4"/>
      <c r="B52" s="10" t="s">
        <v>110</v>
      </c>
      <c r="C52" s="10" t="s">
        <v>111</v>
      </c>
      <c r="D52" s="228"/>
      <c r="E52" s="228"/>
      <c r="F52" s="228"/>
      <c r="G52" s="109"/>
      <c r="H52" s="10" t="s">
        <v>200</v>
      </c>
      <c r="I52" s="226"/>
      <c r="J52" s="228"/>
      <c r="K52" s="9"/>
    </row>
    <row r="53" spans="1:11" x14ac:dyDescent="0.2">
      <c r="A53" s="4"/>
      <c r="B53" s="26" t="str">
        <f>Referencias!$Y6</f>
        <v>CFS-WB</v>
      </c>
      <c r="C53" s="12">
        <f>VLOOKUP(B53,Referencias!Y6:AC21,3,FALSE)</f>
        <v>236993</v>
      </c>
      <c r="D53" s="18">
        <f>IF(SUMIF('Informe - Planilla'!$T:$T,$B53,'Informe - Planilla'!$AB:$AB)&lt;=0,"",SUMIF('Informe - Planilla'!$T:$T,$B53,'Informe - Planilla'!$AB:$AB))</f>
        <v>2579.85</v>
      </c>
      <c r="E53" s="15">
        <f t="shared" ref="E53:E68" si="0">IFERROR(ROUNDUP(D53/H53,0),"")</f>
        <v>1</v>
      </c>
      <c r="F53" s="23" t="s">
        <v>77</v>
      </c>
      <c r="G53" s="109"/>
      <c r="H53" s="135">
        <f>122*61*10</f>
        <v>74420</v>
      </c>
      <c r="I53" s="187">
        <v>40000</v>
      </c>
      <c r="J53" s="182">
        <f>IFERROR(E53*I53,"")</f>
        <v>40000</v>
      </c>
      <c r="K53" s="9"/>
    </row>
    <row r="54" spans="1:11" x14ac:dyDescent="0.2">
      <c r="B54" s="27" t="str">
        <f>Referencias!$Y7</f>
        <v xml:space="preserve">CF-AS CJP </v>
      </c>
      <c r="C54" s="13">
        <f>VLOOKUP(B54,Referencias!Y7:AC22,3,FALSE)</f>
        <v>2005479</v>
      </c>
      <c r="D54" s="19" t="str">
        <f>IF(SUMIF('Informe - Planilla'!$T:$T,$B54,'Informe - Planilla'!$AB:$AB)&lt;=0,"",SUMIF('Informe - Planilla'!$T:$T,$B54,'Informe - Planilla'!$AB:$AB))</f>
        <v/>
      </c>
      <c r="E54" s="16" t="str">
        <f t="shared" si="0"/>
        <v/>
      </c>
      <c r="F54" s="24" t="s">
        <v>78</v>
      </c>
      <c r="G54" s="109"/>
      <c r="H54" s="136">
        <v>45307</v>
      </c>
      <c r="I54" s="188">
        <v>41625</v>
      </c>
      <c r="J54" s="183" t="str">
        <f t="shared" ref="J54:J68" si="1">IFERROR(E54*I54,"")</f>
        <v/>
      </c>
      <c r="K54" s="9"/>
    </row>
    <row r="55" spans="1:11" x14ac:dyDescent="0.2">
      <c r="B55" s="27" t="str">
        <f>Referencias!$Y8</f>
        <v>FS-ONE Max</v>
      </c>
      <c r="C55" s="13">
        <f>VLOOKUP(B55,Referencias!Y8:AC23,IF(F55="Foil/Cartucho",3,IF(F55="Caneca",4,"-")),FALSE)</f>
        <v>311387</v>
      </c>
      <c r="D55" s="19">
        <f>IF(SUMIF('Informe - Planilla'!$T:$T,$B55,'Informe - Planilla'!$AB:$AB)&lt;=0,"",SUMIF('Informe - Planilla'!$T:$T,$B55,'Informe - Planilla'!$AB:$AB))</f>
        <v>598.97853951489628</v>
      </c>
      <c r="E55" s="16">
        <f t="shared" si="0"/>
        <v>1</v>
      </c>
      <c r="F55" s="31" t="s">
        <v>78</v>
      </c>
      <c r="G55" s="109"/>
      <c r="H55" s="136">
        <f>IF(F55="Foil/Cartucho",600,18927)</f>
        <v>600</v>
      </c>
      <c r="I55" s="188">
        <f>IF(F55="Foil/Cartucho",126000,2062500)</f>
        <v>126000</v>
      </c>
      <c r="J55" s="183">
        <f t="shared" si="1"/>
        <v>126000</v>
      </c>
      <c r="K55" s="9"/>
    </row>
    <row r="56" spans="1:11" x14ac:dyDescent="0.2">
      <c r="B56" s="27" t="str">
        <f>Referencias!$Y9</f>
        <v>CP 620</v>
      </c>
      <c r="C56" s="13">
        <f>VLOOKUP(B56,Referencias!Y9:AC24,3,FALSE)</f>
        <v>338725</v>
      </c>
      <c r="D56" s="19" t="str">
        <f>IF(SUMIF('Informe - Planilla'!$T:$T,$B56,'Informe - Planilla'!$AB:$AB)&lt;=0,"",SUMIF('Informe - Planilla'!$T:$T,$B56,'Informe - Planilla'!$AB:$AB))</f>
        <v/>
      </c>
      <c r="E56" s="16" t="str">
        <f t="shared" si="0"/>
        <v/>
      </c>
      <c r="F56" s="24" t="s">
        <v>78</v>
      </c>
      <c r="G56" s="109"/>
      <c r="H56" s="136">
        <v>1803</v>
      </c>
      <c r="I56" s="188">
        <v>213750</v>
      </c>
      <c r="J56" s="183" t="str">
        <f t="shared" si="1"/>
        <v/>
      </c>
      <c r="K56" s="9"/>
    </row>
    <row r="57" spans="1:11" x14ac:dyDescent="0.2">
      <c r="B57" s="27" t="str">
        <f>Referencias!$Y10</f>
        <v>CP 618</v>
      </c>
      <c r="C57" s="13">
        <f>VLOOKUP(B57,Referencias!Y10:AC25,3,FALSE)</f>
        <v>314721</v>
      </c>
      <c r="D57" s="19" t="str">
        <f>IF(SUMIF('Informe - Planilla'!$T:$T,$B57,'Informe - Planilla'!$AB:$AB)&lt;=0,"",SUMIF('Informe - Planilla'!$T:$T,$B57,'Informe - Planilla'!$AB:$AB))</f>
        <v/>
      </c>
      <c r="E57" s="16" t="str">
        <f t="shared" si="0"/>
        <v/>
      </c>
      <c r="F57" s="24" t="s">
        <v>80</v>
      </c>
      <c r="G57" s="109"/>
      <c r="H57" s="136">
        <v>295</v>
      </c>
      <c r="I57" s="188">
        <v>78375</v>
      </c>
      <c r="J57" s="183" t="str">
        <f t="shared" si="1"/>
        <v/>
      </c>
      <c r="K57" s="9"/>
    </row>
    <row r="58" spans="1:11" x14ac:dyDescent="0.2">
      <c r="B58" s="27" t="str">
        <f>Referencias!$Y11</f>
        <v>CFS BL</v>
      </c>
      <c r="C58" s="13">
        <f>VLOOKUP(B58,Referencias!Y11:AC26,3,FALSE)</f>
        <v>2030020</v>
      </c>
      <c r="D58" s="19" t="str">
        <f>IF(SUMIF('Informe - Planilla'!$T:$T,$B58,'Informe - Planilla'!$AB:$AB)&lt;=0,"",SUMIF('Informe - Planilla'!$T:$T,$B58,'Informe - Planilla'!$AB:$AB))</f>
        <v/>
      </c>
      <c r="E58" s="16" t="str">
        <f t="shared" si="0"/>
        <v/>
      </c>
      <c r="F58" s="24" t="s">
        <v>81</v>
      </c>
      <c r="G58" s="109"/>
      <c r="H58" s="136">
        <f>2*2.54*5*2.54*8*2.54</f>
        <v>1310.9651199999998</v>
      </c>
      <c r="I58" s="188">
        <v>155000</v>
      </c>
      <c r="J58" s="183" t="str">
        <f t="shared" si="1"/>
        <v/>
      </c>
      <c r="K58" s="9"/>
    </row>
    <row r="59" spans="1:11" x14ac:dyDescent="0.2">
      <c r="B59" s="27" t="str">
        <f>Referencias!$Y12</f>
        <v>CP 637</v>
      </c>
      <c r="C59" s="13">
        <f>VLOOKUP(B59,Referencias!Y12:AC27,3,FALSE)</f>
        <v>340645</v>
      </c>
      <c r="D59" s="19" t="str">
        <f>IF(SUMIF('Informe - Planilla'!$T:$T,$B59,'Informe - Planilla'!$AB:$AB)&lt;=0,"",SUMIF('Informe - Planilla'!$T:$T,$B59,'Informe - Planilla'!$AB:$AB))</f>
        <v/>
      </c>
      <c r="E59" s="16" t="str">
        <f t="shared" si="0"/>
        <v/>
      </c>
      <c r="F59" s="24" t="s">
        <v>82</v>
      </c>
      <c r="G59" s="109"/>
      <c r="H59" s="136">
        <f>Referencias!$AP$32</f>
        <v>19603.603603603602</v>
      </c>
      <c r="I59" s="188">
        <v>647500</v>
      </c>
      <c r="J59" s="183" t="str">
        <f t="shared" si="1"/>
        <v/>
      </c>
      <c r="K59" s="9"/>
    </row>
    <row r="60" spans="1:11" x14ac:dyDescent="0.2">
      <c r="B60" s="27" t="str">
        <f>Referencias!$Y13</f>
        <v>CFS-S SIL GG</v>
      </c>
      <c r="C60" s="13">
        <f>VLOOKUP(B60,Referencias!Y13:AC28,IF(F60="Foil/Cartucho",3,IF(F60="Caneca",4,"-")),FALSE)</f>
        <v>314270</v>
      </c>
      <c r="D60" s="19" t="str">
        <f>IF(SUMIF('Informe - Planilla'!$T:$T,$B60,'Informe - Planilla'!$AB:$AB)&lt;=0,"",SUMIF('Informe - Planilla'!$T:$T,$B60,'Informe - Planilla'!$AB:$AB))</f>
        <v/>
      </c>
      <c r="E60" s="16" t="str">
        <f t="shared" si="0"/>
        <v/>
      </c>
      <c r="F60" s="31" t="s">
        <v>79</v>
      </c>
      <c r="G60" s="109"/>
      <c r="H60" s="136">
        <f>IF(F60="Foil/Cartucho",600,18927)</f>
        <v>18927</v>
      </c>
      <c r="I60" s="188">
        <f>IF(F60="Foil/Cartucho",73375,1625000)</f>
        <v>1625000</v>
      </c>
      <c r="J60" s="183" t="str">
        <f t="shared" si="1"/>
        <v/>
      </c>
      <c r="K60" s="9"/>
    </row>
    <row r="61" spans="1:11" x14ac:dyDescent="0.2">
      <c r="B61" s="27" t="str">
        <f>Referencias!$Y14</f>
        <v>CFS-SP WB</v>
      </c>
      <c r="C61" s="13">
        <f>VLOOKUP(B61,Referencias!Y14:AC29,3,FALSE)</f>
        <v>430792</v>
      </c>
      <c r="D61" s="19" t="str">
        <f>IF(SUMIF('Informe - Planilla'!$T:$T,$B61,'Informe - Planilla'!$AB:$AB)&lt;=0,"",SUMIF('Informe - Planilla'!$T:$T,$B61,'Informe - Planilla'!$AB:$AB))</f>
        <v/>
      </c>
      <c r="E61" s="16" t="str">
        <f t="shared" si="0"/>
        <v/>
      </c>
      <c r="F61" s="24" t="s">
        <v>79</v>
      </c>
      <c r="G61" s="109"/>
      <c r="H61" s="136">
        <v>18927</v>
      </c>
      <c r="I61" s="188">
        <v>1035000</v>
      </c>
      <c r="J61" s="183" t="str">
        <f t="shared" si="1"/>
        <v/>
      </c>
      <c r="K61" s="9"/>
    </row>
    <row r="62" spans="1:11" x14ac:dyDescent="0.2">
      <c r="B62" s="27" t="str">
        <f>Referencias!$Y15</f>
        <v>CP 606</v>
      </c>
      <c r="C62" s="13">
        <f>VLOOKUP(B62,Referencias!Y15:AC30,3,FALSE)</f>
        <v>209637</v>
      </c>
      <c r="D62" s="19">
        <f>IF(SUMIF('Informe - Planilla'!$T:$T,$B62,'Informe - Planilla'!$AB:$AB)&lt;=0,"",SUMIF('Informe - Planilla'!$T:$T,$B62,'Informe - Planilla'!$AB:$AB))</f>
        <v>1020.3397934300363</v>
      </c>
      <c r="E62" s="16">
        <f t="shared" si="0"/>
        <v>1</v>
      </c>
      <c r="F62" s="31" t="s">
        <v>79</v>
      </c>
      <c r="G62" s="109"/>
      <c r="H62" s="136">
        <f>IF(F62="Foil/Cartucho",600,18927)</f>
        <v>18927</v>
      </c>
      <c r="I62" s="188">
        <f>IF(F62="Foil/Cartucho",0,1035000)</f>
        <v>1035000</v>
      </c>
      <c r="J62" s="183">
        <f t="shared" si="1"/>
        <v>1035000</v>
      </c>
      <c r="K62" s="9"/>
    </row>
    <row r="63" spans="1:11" x14ac:dyDescent="0.2">
      <c r="B63" s="27" t="str">
        <f>Referencias!$Y16</f>
        <v>CP 678</v>
      </c>
      <c r="C63" s="13">
        <f>VLOOKUP(B63,Referencias!Y16:AC31,3,FALSE)</f>
        <v>334892</v>
      </c>
      <c r="D63" s="19" t="str">
        <f>IF(SUMIF('Informe - Planilla'!$T:$T,$B63,'Informe - Planilla'!$AB:$AB)&lt;=0,"",SUMIF('Informe - Planilla'!$T:$T,$B63,'Informe - Planilla'!$AB:$AB))</f>
        <v/>
      </c>
      <c r="E63" s="16" t="str">
        <f t="shared" si="0"/>
        <v/>
      </c>
      <c r="F63" s="24" t="s">
        <v>98</v>
      </c>
      <c r="G63" s="109"/>
      <c r="H63" s="136">
        <v>15400</v>
      </c>
      <c r="I63" s="188">
        <v>0</v>
      </c>
      <c r="J63" s="183" t="str">
        <f t="shared" si="1"/>
        <v/>
      </c>
      <c r="K63" s="9"/>
    </row>
    <row r="64" spans="1:11" x14ac:dyDescent="0.2">
      <c r="B64" s="27" t="str">
        <f>Referencias!$Y17</f>
        <v>CP 679 A</v>
      </c>
      <c r="C64" s="13">
        <f>VLOOKUP(B64,Referencias!Y17:AC32,3,FALSE)</f>
        <v>372097</v>
      </c>
      <c r="D64" s="19" t="str">
        <f>IF(SUMIF('Informe - Planilla'!$T:$T,$B64,'Informe - Planilla'!$AB:$AB)&lt;=0,"",SUMIF('Informe - Planilla'!$T:$T,$B64,'Informe - Planilla'!$AB:$AB))</f>
        <v/>
      </c>
      <c r="E64" s="16" t="str">
        <f t="shared" si="0"/>
        <v/>
      </c>
      <c r="F64" s="24" t="s">
        <v>98</v>
      </c>
      <c r="G64" s="109"/>
      <c r="H64" s="136">
        <v>14815</v>
      </c>
      <c r="I64" s="188">
        <v>2087500</v>
      </c>
      <c r="J64" s="183" t="str">
        <f t="shared" si="1"/>
        <v/>
      </c>
      <c r="K64" s="9"/>
    </row>
    <row r="65" spans="1:13" x14ac:dyDescent="0.2">
      <c r="B65" s="27" t="str">
        <f>Referencias!$Y18</f>
        <v>CP 648E 1"</v>
      </c>
      <c r="C65" s="13">
        <f>VLOOKUP(B65,Referencias!Y18:AC33,3,FALSE)</f>
        <v>304308</v>
      </c>
      <c r="D65" s="20">
        <f>IF(SUMIF('Informe - Planilla'!$T:$T,$B65,'Informe - Planilla'!$AB:$AB)&lt;=0,"",SUMIF('Informe - Planilla'!$T:$T,$B65,'Informe - Planilla'!$AB:$AB))</f>
        <v>2.1692068954506807</v>
      </c>
      <c r="E65" s="16">
        <f t="shared" si="0"/>
        <v>1</v>
      </c>
      <c r="F65" s="24" t="s">
        <v>140</v>
      </c>
      <c r="G65" s="109"/>
      <c r="H65" s="137">
        <v>10</v>
      </c>
      <c r="I65" s="188">
        <v>546250</v>
      </c>
      <c r="J65" s="183">
        <f t="shared" si="1"/>
        <v>546250</v>
      </c>
      <c r="K65" s="9"/>
    </row>
    <row r="66" spans="1:13" x14ac:dyDescent="0.2">
      <c r="B66" s="27" t="str">
        <f>Referencias!$Y19</f>
        <v>CP 648E 1-¾"</v>
      </c>
      <c r="C66" s="13">
        <f>VLOOKUP(B66,Referencias!Y19:AC34,3,FALSE)</f>
        <v>304309</v>
      </c>
      <c r="D66" s="20" t="str">
        <f>IF(SUMIF('Informe - Planilla'!$T:$T,$B66,'Informe - Planilla'!$AB:$AB)&lt;=0,"",SUMIF('Informe - Planilla'!$T:$T,$B66,'Informe - Planilla'!$AB:$AB))</f>
        <v/>
      </c>
      <c r="E66" s="16" t="str">
        <f t="shared" si="0"/>
        <v/>
      </c>
      <c r="F66" s="24" t="s">
        <v>140</v>
      </c>
      <c r="G66" s="109"/>
      <c r="H66" s="137">
        <v>10</v>
      </c>
      <c r="I66" s="188">
        <v>752500</v>
      </c>
      <c r="J66" s="183" t="str">
        <f t="shared" si="1"/>
        <v/>
      </c>
      <c r="K66" s="9"/>
    </row>
    <row r="67" spans="1:13" x14ac:dyDescent="0.2">
      <c r="B67" s="27" t="str">
        <f>Referencias!$Y20</f>
        <v>CP 643-110/4"</v>
      </c>
      <c r="C67" s="13">
        <f>VLOOKUP(B67,Referencias!Y20:AC35,3,FALSE)</f>
        <v>304329</v>
      </c>
      <c r="D67" s="21" t="str">
        <f>IF(SUMIF('Informe - Planilla'!$T:$T,$B67,'Informe - Planilla'!$AB:$AB)&lt;=0,"",SUMIF('Informe - Planilla'!$T:$T,$B67,'Informe - Planilla'!$AB:$AB))</f>
        <v/>
      </c>
      <c r="E67" s="16" t="str">
        <f t="shared" si="0"/>
        <v/>
      </c>
      <c r="F67" s="24" t="s">
        <v>138</v>
      </c>
      <c r="G67" s="109"/>
      <c r="H67" s="138">
        <v>1</v>
      </c>
      <c r="I67" s="188">
        <v>113500</v>
      </c>
      <c r="J67" s="183" t="str">
        <f t="shared" si="1"/>
        <v/>
      </c>
      <c r="K67" s="9"/>
    </row>
    <row r="68" spans="1:13" ht="15.75" thickBot="1" x14ac:dyDescent="0.25">
      <c r="B68" s="28" t="str">
        <f>Referencias!$Y21</f>
        <v>CP 643-160/6"</v>
      </c>
      <c r="C68" s="14">
        <f>VLOOKUP(B68,Referencias!Y21:AC36,3,FALSE)</f>
        <v>304331</v>
      </c>
      <c r="D68" s="22" t="str">
        <f>IF(SUMIF('Informe - Planilla'!$T:$T,$B68,'Informe - Planilla'!$AB:$AB)&lt;=0,"",SUMIF('Informe - Planilla'!$T:$T,$B68,'Informe - Planilla'!$AB:$AB))</f>
        <v/>
      </c>
      <c r="E68" s="17" t="str">
        <f t="shared" si="0"/>
        <v/>
      </c>
      <c r="F68" s="25" t="s">
        <v>138</v>
      </c>
      <c r="G68" s="109"/>
      <c r="H68" s="139">
        <v>1</v>
      </c>
      <c r="I68" s="189">
        <v>201250</v>
      </c>
      <c r="J68" s="184" t="str">
        <f t="shared" si="1"/>
        <v/>
      </c>
      <c r="K68" s="9"/>
    </row>
    <row r="69" spans="1:13" ht="16.5" customHeight="1" x14ac:dyDescent="0.2">
      <c r="A69" s="4"/>
      <c r="B69" s="4"/>
      <c r="C69" s="4"/>
      <c r="D69" s="4"/>
      <c r="E69" s="4"/>
      <c r="F69" s="4"/>
      <c r="G69" s="109"/>
      <c r="H69" s="9"/>
      <c r="I69" s="186"/>
      <c r="J69" s="185">
        <f>SUM(J53:J68)</f>
        <v>1747250</v>
      </c>
      <c r="K69" s="9"/>
    </row>
    <row r="70" spans="1:13" x14ac:dyDescent="0.2">
      <c r="A70" s="4"/>
      <c r="B70" s="11"/>
      <c r="C70" s="11"/>
      <c r="D70" s="4"/>
      <c r="E70" s="4"/>
      <c r="F70" s="4"/>
      <c r="G70" s="109"/>
      <c r="H70" s="9"/>
      <c r="K70" s="9"/>
    </row>
    <row r="71" spans="1:13" ht="15" customHeight="1" x14ac:dyDescent="0.2">
      <c r="A71" s="30"/>
      <c r="C71" s="29"/>
      <c r="D71" s="11"/>
      <c r="E71" s="11"/>
      <c r="F71" s="4"/>
      <c r="G71" s="109"/>
    </row>
    <row r="72" spans="1:13" s="119" customFormat="1" ht="12.75" x14ac:dyDescent="0.2">
      <c r="A72" s="130" t="s">
        <v>99</v>
      </c>
      <c r="B72" s="120"/>
      <c r="C72" s="120"/>
      <c r="D72" s="120"/>
      <c r="E72" s="120"/>
      <c r="F72" s="120"/>
      <c r="G72" s="109"/>
      <c r="H72" s="121"/>
      <c r="M72" s="121"/>
    </row>
    <row r="73" spans="1:13" s="9" customFormat="1" ht="60" customHeight="1" x14ac:dyDescent="0.2">
      <c r="A73" s="243" t="s">
        <v>191</v>
      </c>
      <c r="B73" s="243"/>
      <c r="C73" s="243"/>
      <c r="D73" s="243"/>
      <c r="E73" s="243"/>
      <c r="F73" s="243"/>
      <c r="G73" s="243"/>
      <c r="H73" s="11"/>
      <c r="M73" s="11"/>
    </row>
    <row r="74" spans="1:13" s="9" customFormat="1" ht="65.25" customHeight="1" x14ac:dyDescent="0.2">
      <c r="A74" s="244" t="s">
        <v>192</v>
      </c>
      <c r="B74" s="244"/>
      <c r="C74" s="244"/>
      <c r="D74" s="244"/>
      <c r="E74" s="244"/>
      <c r="F74" s="244"/>
      <c r="G74" s="244"/>
      <c r="H74" s="3"/>
      <c r="I74" s="3"/>
      <c r="J74" s="3"/>
      <c r="K74" s="3"/>
      <c r="L74" s="11"/>
      <c r="M74" s="11"/>
    </row>
    <row r="75" spans="1:13" s="9" customFormat="1" x14ac:dyDescent="0.2">
      <c r="A75" s="132"/>
      <c r="B75" s="132"/>
      <c r="C75" s="132"/>
      <c r="D75" s="132"/>
      <c r="E75" s="132"/>
      <c r="F75" s="132"/>
      <c r="G75" s="109"/>
      <c r="H75" s="3"/>
      <c r="I75" s="3"/>
      <c r="J75" s="3"/>
      <c r="K75" s="3"/>
      <c r="L75" s="11"/>
      <c r="M75" s="11"/>
    </row>
    <row r="76" spans="1:13" ht="15.75" thickBot="1" x14ac:dyDescent="0.25">
      <c r="A76" s="8"/>
      <c r="B76" s="8"/>
      <c r="C76" s="8"/>
      <c r="D76" s="8"/>
      <c r="E76" s="8"/>
      <c r="F76" s="8"/>
      <c r="G76" s="8"/>
    </row>
    <row r="77" spans="1:13" x14ac:dyDescent="0.2">
      <c r="G77" s="109"/>
    </row>
    <row r="78" spans="1:13" x14ac:dyDescent="0.2">
      <c r="A78" s="238" t="s">
        <v>141</v>
      </c>
      <c r="B78" s="238"/>
      <c r="C78" s="236"/>
      <c r="D78" s="236"/>
      <c r="E78" s="236"/>
      <c r="F78" s="148"/>
      <c r="G78" s="109"/>
    </row>
    <row r="79" spans="1:13" x14ac:dyDescent="0.2">
      <c r="A79" s="1"/>
      <c r="B79" s="1"/>
      <c r="G79" s="109"/>
    </row>
    <row r="80" spans="1:13" x14ac:dyDescent="0.2">
      <c r="A80" s="113"/>
      <c r="B80" s="114" t="s">
        <v>103</v>
      </c>
      <c r="C80" s="236" t="str">
        <f>'Informe - Planilla'!C4:D4</f>
        <v>Nombre de remitente</v>
      </c>
      <c r="D80" s="236"/>
      <c r="E80" s="236"/>
      <c r="F80" s="148"/>
      <c r="G80" s="109"/>
    </row>
    <row r="81" spans="1:7" x14ac:dyDescent="0.2">
      <c r="A81" s="1"/>
      <c r="B81" s="1"/>
      <c r="G81" s="109"/>
    </row>
    <row r="82" spans="1:7" x14ac:dyDescent="0.2">
      <c r="A82" s="1"/>
      <c r="B82" s="114" t="s">
        <v>102</v>
      </c>
      <c r="C82" s="236"/>
      <c r="D82" s="236"/>
      <c r="E82" s="236"/>
      <c r="F82" s="148"/>
      <c r="G82" s="109"/>
    </row>
    <row r="83" spans="1:7" x14ac:dyDescent="0.2">
      <c r="G83" s="109"/>
    </row>
  </sheetData>
  <sheetProtection algorithmName="SHA-512" hashValue="6CsuH5ZzNGIGlKcuqZ1MwS12JNh4P1PSAazCeey9NYxPOgwei6fE8aYvjXRiD3M+/jiliz61uUqvGkLeXHzLPg==" saltValue="kpEyD7bwR9+nQX4aBwkPLw==" spinCount="100000" sheet="1" objects="1" scenarios="1" formatCells="0" formatRows="0" selectLockedCells="1"/>
  <dataConsolidate/>
  <mergeCells count="32">
    <mergeCell ref="C82:E82"/>
    <mergeCell ref="A3:C3"/>
    <mergeCell ref="D3:E3"/>
    <mergeCell ref="A78:B78"/>
    <mergeCell ref="E51:F52"/>
    <mergeCell ref="D51:D52"/>
    <mergeCell ref="B51:C51"/>
    <mergeCell ref="C78:E78"/>
    <mergeCell ref="C80:E80"/>
    <mergeCell ref="A4:C4"/>
    <mergeCell ref="D4:E4"/>
    <mergeCell ref="A6:E6"/>
    <mergeCell ref="A11:E11"/>
    <mergeCell ref="A20:E20"/>
    <mergeCell ref="A73:G73"/>
    <mergeCell ref="A74:G74"/>
    <mergeCell ref="A9:G9"/>
    <mergeCell ref="F5:G5"/>
    <mergeCell ref="F2:G2"/>
    <mergeCell ref="F3:G3"/>
    <mergeCell ref="F6:G6"/>
    <mergeCell ref="F4:G4"/>
    <mergeCell ref="A48:E48"/>
    <mergeCell ref="I51:I52"/>
    <mergeCell ref="J51:J52"/>
    <mergeCell ref="A22:G22"/>
    <mergeCell ref="A13:G13"/>
    <mergeCell ref="A14:G14"/>
    <mergeCell ref="A15:G15"/>
    <mergeCell ref="A16:G16"/>
    <mergeCell ref="A17:G17"/>
    <mergeCell ref="A18:G18"/>
  </mergeCells>
  <phoneticPr fontId="3" type="noConversion"/>
  <conditionalFormatting sqref="B53:C68 E53:F68">
    <cfRule type="expression" dxfId="38" priority="13">
      <formula>$D53=""</formula>
    </cfRule>
  </conditionalFormatting>
  <conditionalFormatting sqref="C27:C29">
    <cfRule type="expression" dxfId="37" priority="1347">
      <formula>$B27=""</formula>
    </cfRule>
  </conditionalFormatting>
  <conditionalFormatting sqref="C31:C45">
    <cfRule type="expression" dxfId="36" priority="1348">
      <formula>$B31=""</formula>
    </cfRule>
  </conditionalFormatting>
  <conditionalFormatting sqref="G7:G8 G19:G21 G47:G72 G80:G83 G77:G78 G75 G10:G12 G23:G45">
    <cfRule type="cellIs" dxfId="35" priority="7" operator="equal">
      <formula>""</formula>
    </cfRule>
  </conditionalFormatting>
  <conditionalFormatting sqref="G46">
    <cfRule type="cellIs" dxfId="34" priority="5" operator="equal">
      <formula>""</formula>
    </cfRule>
  </conditionalFormatting>
  <conditionalFormatting sqref="G79">
    <cfRule type="cellIs" dxfId="33" priority="3" operator="equal">
      <formula>""</formula>
    </cfRule>
  </conditionalFormatting>
  <conditionalFormatting sqref="J53:J68">
    <cfRule type="expression" dxfId="32" priority="1">
      <formula>$E53=""</formula>
    </cfRule>
  </conditionalFormatting>
  <pageMargins left="0.47244094488188981" right="0.47244094488188981" top="1.1811023622047245" bottom="0.78740157480314965" header="0.59055118110236227" footer="0.39370078740157483"/>
  <pageSetup scale="94" fitToHeight="0" pageOrder="overThenDown" orientation="portrait" r:id="rId1"/>
  <headerFooter>
    <oddHeader>&amp;L&amp;F
&amp;A
&amp;R&amp;G</oddHeader>
    <oddFooter>&amp;L&amp;"Arial,Negrita"&amp;12Hilti Colombia S.A.S&amp;"Arial,Normal"&amp;10
&amp;"Arial,Cursiva"Departamento de Ingeniería&amp;C Página &amp;P de &amp;N&amp;R&amp;12&amp;K01+023Informe de especificación Hilti&amp;10&amp;K01+000
&amp;"Arial,Cursiva"&amp;KD10024Sellos Cortafuego</oddFooter>
  </headerFooter>
  <rowBreaks count="1" manualBreakCount="1">
    <brk id="47" max="6" man="1"/>
  </rowBreaks>
  <legacyDrawing r:id="rId2"/>
  <legacyDrawingHF r:id="rId3"/>
  <extLst>
    <ext xmlns:x14="http://schemas.microsoft.com/office/spreadsheetml/2009/9/main" uri="{CCE6A557-97BC-4b89-ADB6-D9C93CAAB3DF}">
      <x14:dataValidations xmlns:xm="http://schemas.microsoft.com/office/excel/2006/main" count="1">
        <x14:dataValidation type="list" allowBlank="1" showErrorMessage="1">
          <x14:formula1>
            <xm:f>Referencias!$Y$23:$Y$24</xm:f>
          </x14:formula1>
          <xm:sqref>F60 F55 F62</xm:sqref>
        </x14:dataValidation>
      </x14:dataValidations>
    </ext>
    <ext xmlns:mx="http://schemas.microsoft.com/office/mac/excel/2008/main" uri="{64002731-A6B0-56B0-2670-7721B7C09600}">
      <mx:PLV Mode="1" OnePage="0" WScale="10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dimension ref="B2:B4"/>
  <sheetViews>
    <sheetView view="pageBreakPreview" zoomScaleNormal="100" zoomScaleSheetLayoutView="100" workbookViewId="0">
      <selection activeCell="B6" sqref="B6"/>
    </sheetView>
  </sheetViews>
  <sheetFormatPr defaultColWidth="9.140625" defaultRowHeight="12.75" x14ac:dyDescent="0.2"/>
  <cols>
    <col min="1" max="1" width="2.7109375" style="5" customWidth="1"/>
    <col min="2" max="2" width="100.7109375" style="5" customWidth="1"/>
    <col min="3" max="3" width="2.7109375" style="5" customWidth="1"/>
    <col min="4" max="16384" width="9.140625" style="5"/>
  </cols>
  <sheetData>
    <row r="2" spans="2:2" ht="15.75" x14ac:dyDescent="0.25">
      <c r="B2" s="32" t="s">
        <v>166</v>
      </c>
    </row>
    <row r="4" spans="2:2" x14ac:dyDescent="0.2">
      <c r="B4" s="5" t="s">
        <v>167</v>
      </c>
    </row>
  </sheetData>
  <pageMargins left="0.7" right="0.7" top="0.82291666666666663" bottom="0.83333333333333337" header="0.3" footer="0.3"/>
  <pageSetup scale="85" orientation="portrait" r:id="rId1"/>
  <headerFooter>
    <oddHeader>&amp;L&amp;F
&amp;"Arial,Negrita"&amp;KD10024— ESTE DOCUMENTO ES CONFIDENCIAL —
PLANILLA PARA USO INTERNO &amp;"Arial,Normal"&amp;K01+000
&amp;R&amp;G</oddHeader>
    <oddFooter>&amp;L&amp;"Arial,Negrita"&amp;12Hilti Colombia S.A.S&amp;"Arial,Normal"&amp;10
&amp;"Arial,Cursiva"Departamento de Ingeniería&amp;C Página &amp;P de &amp;N&amp;RMemoria de Cálculo
Registro fotográfico de inspección</oddFooter>
  </headerFooter>
  <legacyDrawingHF r:id="rId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B3:BB55"/>
  <sheetViews>
    <sheetView showGridLines="0" topLeftCell="AE3" workbookViewId="0">
      <selection activeCell="AA7" sqref="AA7"/>
    </sheetView>
  </sheetViews>
  <sheetFormatPr defaultColWidth="9.140625" defaultRowHeight="12.75" x14ac:dyDescent="0.2"/>
  <cols>
    <col min="1" max="2" width="2.7109375" style="2" customWidth="1"/>
    <col min="3" max="3" width="20" style="2" bestFit="1" customWidth="1"/>
    <col min="4" max="4" width="8.7109375" style="2" customWidth="1"/>
    <col min="5" max="5" width="2.7109375" style="2" customWidth="1"/>
    <col min="6" max="6" width="3.7109375" style="2" customWidth="1"/>
    <col min="7" max="7" width="2.7109375" style="2" customWidth="1"/>
    <col min="8" max="8" width="28.42578125" style="2" customWidth="1"/>
    <col min="9" max="9" width="2.7109375" style="2" customWidth="1"/>
    <col min="10" max="10" width="3.7109375" style="2" customWidth="1"/>
    <col min="11" max="11" width="2.7109375" style="2" customWidth="1"/>
    <col min="12" max="12" width="21.42578125" style="2" customWidth="1"/>
    <col min="13" max="13" width="2.7109375" style="2" customWidth="1"/>
    <col min="14" max="14" width="3.7109375" style="2" customWidth="1"/>
    <col min="15" max="15" width="2.7109375" style="2" customWidth="1"/>
    <col min="16" max="16" width="19.7109375" style="2" bestFit="1" customWidth="1"/>
    <col min="17" max="17" width="8.7109375" style="2" customWidth="1"/>
    <col min="18" max="18" width="2.7109375" style="2" customWidth="1"/>
    <col min="19" max="19" width="3.7109375" style="2" customWidth="1"/>
    <col min="20" max="20" width="2.7109375" style="2" customWidth="1"/>
    <col min="21" max="21" width="25.7109375" style="2" customWidth="1"/>
    <col min="22" max="22" width="2.7109375" style="2" customWidth="1"/>
    <col min="23" max="23" width="3.7109375" style="2" customWidth="1"/>
    <col min="24" max="24" width="2.7109375" style="2" customWidth="1"/>
    <col min="25" max="25" width="14.7109375" style="2" customWidth="1"/>
    <col min="26" max="26" width="23.85546875" style="2" bestFit="1" customWidth="1"/>
    <col min="27" max="29" width="8.42578125" style="2" customWidth="1"/>
    <col min="30" max="30" width="2.7109375" style="2" customWidth="1"/>
    <col min="31" max="31" width="3.7109375" style="2" customWidth="1"/>
    <col min="32" max="32" width="2.7109375" style="2" customWidth="1"/>
    <col min="33" max="33" width="9.140625" style="2"/>
    <col min="34" max="34" width="7.7109375" style="2" customWidth="1"/>
    <col min="35" max="36" width="6.7109375" style="2" customWidth="1"/>
    <col min="37" max="37" width="5.7109375" style="2" customWidth="1"/>
    <col min="38" max="38" width="2.7109375" style="2" customWidth="1"/>
    <col min="39" max="39" width="3.7109375" style="2" customWidth="1"/>
    <col min="40" max="40" width="2.7109375" style="2" customWidth="1"/>
    <col min="41" max="41" width="9.140625" style="2"/>
    <col min="42" max="42" width="7.7109375" style="2" customWidth="1"/>
    <col min="43" max="44" width="6.7109375" style="2" customWidth="1"/>
    <col min="45" max="45" width="5.7109375" style="2" customWidth="1"/>
    <col min="46" max="46" width="2.7109375" style="2" customWidth="1"/>
    <col min="47" max="47" width="3.7109375" style="2" customWidth="1"/>
    <col min="48" max="48" width="2.7109375" style="2" customWidth="1"/>
    <col min="49" max="49" width="10.7109375" style="2" customWidth="1"/>
    <col min="50" max="50" width="9.7109375" style="2" customWidth="1"/>
    <col min="51" max="51" width="11.28515625" style="2" customWidth="1"/>
    <col min="52" max="52" width="9.85546875" style="2" customWidth="1"/>
    <col min="53" max="53" width="9.5703125" style="2" customWidth="1"/>
    <col min="54" max="54" width="2.7109375" style="2" customWidth="1"/>
    <col min="55" max="55" width="3.7109375" style="2" customWidth="1"/>
    <col min="56" max="57" width="9.140625" style="2"/>
    <col min="58" max="58" width="9.7109375" style="2" customWidth="1"/>
    <col min="59" max="62" width="9.140625" style="2"/>
    <col min="63" max="63" width="15.140625" style="2" bestFit="1" customWidth="1"/>
    <col min="64" max="16384" width="9.140625" style="2"/>
  </cols>
  <sheetData>
    <row r="3" spans="2:54" ht="13.5" thickBot="1" x14ac:dyDescent="0.25">
      <c r="C3" s="33"/>
      <c r="D3" s="33"/>
      <c r="E3" s="33"/>
      <c r="F3" s="33"/>
      <c r="G3" s="33"/>
      <c r="H3" s="33"/>
      <c r="I3" s="33"/>
      <c r="J3" s="33"/>
      <c r="K3" s="33"/>
      <c r="L3" s="33"/>
      <c r="M3" s="33"/>
      <c r="O3" s="33"/>
      <c r="P3" s="33"/>
      <c r="Q3" s="33"/>
      <c r="R3" s="33"/>
      <c r="T3" s="33"/>
      <c r="V3" s="33"/>
      <c r="X3" s="33"/>
      <c r="AD3" s="33"/>
    </row>
    <row r="4" spans="2:54" ht="13.5" thickBot="1" x14ac:dyDescent="0.25">
      <c r="B4" s="246" t="s">
        <v>11</v>
      </c>
      <c r="C4" s="247"/>
      <c r="D4" s="247"/>
      <c r="E4" s="248"/>
      <c r="F4" s="33"/>
      <c r="G4" s="246" t="s">
        <v>23</v>
      </c>
      <c r="H4" s="247"/>
      <c r="I4" s="248"/>
      <c r="J4" s="33"/>
      <c r="K4" s="246" t="s">
        <v>25</v>
      </c>
      <c r="L4" s="247"/>
      <c r="M4" s="248"/>
      <c r="O4" s="246" t="s">
        <v>55</v>
      </c>
      <c r="P4" s="247"/>
      <c r="Q4" s="247"/>
      <c r="R4" s="248"/>
      <c r="T4" s="246" t="s">
        <v>27</v>
      </c>
      <c r="U4" s="247"/>
      <c r="V4" s="248"/>
      <c r="X4" s="246" t="s">
        <v>28</v>
      </c>
      <c r="Y4" s="247"/>
      <c r="Z4" s="247"/>
      <c r="AA4" s="247"/>
      <c r="AB4" s="247"/>
      <c r="AC4" s="247"/>
      <c r="AD4" s="248"/>
      <c r="AF4" s="246" t="s">
        <v>66</v>
      </c>
      <c r="AG4" s="247"/>
      <c r="AH4" s="247"/>
      <c r="AI4" s="247"/>
      <c r="AJ4" s="247"/>
      <c r="AK4" s="247"/>
      <c r="AL4" s="248"/>
      <c r="AN4" s="246" t="s">
        <v>83</v>
      </c>
      <c r="AO4" s="247"/>
      <c r="AP4" s="247"/>
      <c r="AQ4" s="247"/>
      <c r="AR4" s="247"/>
      <c r="AS4" s="247"/>
      <c r="AT4" s="248"/>
      <c r="AV4" s="246" t="s">
        <v>134</v>
      </c>
      <c r="AW4" s="247"/>
      <c r="AX4" s="247"/>
      <c r="AY4" s="247"/>
      <c r="AZ4" s="247"/>
      <c r="BA4" s="247"/>
      <c r="BB4" s="248"/>
    </row>
    <row r="5" spans="2:54" ht="12.75" customHeight="1" x14ac:dyDescent="0.2">
      <c r="B5" s="34"/>
      <c r="C5" s="35"/>
      <c r="D5" s="35"/>
      <c r="E5" s="36"/>
      <c r="G5" s="34"/>
      <c r="H5" s="35"/>
      <c r="I5" s="36"/>
      <c r="K5" s="34"/>
      <c r="L5" s="35"/>
      <c r="M5" s="36"/>
      <c r="O5" s="34"/>
      <c r="P5" s="35"/>
      <c r="Q5" s="35"/>
      <c r="R5" s="36"/>
      <c r="T5" s="34"/>
      <c r="U5" s="35"/>
      <c r="V5" s="36"/>
      <c r="X5" s="34"/>
      <c r="Y5" s="35"/>
      <c r="Z5" s="35"/>
      <c r="AA5" s="37"/>
      <c r="AB5" s="37"/>
      <c r="AC5" s="37"/>
      <c r="AD5" s="36"/>
      <c r="AF5" s="34"/>
      <c r="AG5" s="249" t="s">
        <v>70</v>
      </c>
      <c r="AH5" s="249"/>
      <c r="AI5" s="249"/>
      <c r="AJ5" s="249"/>
      <c r="AK5" s="249"/>
      <c r="AL5" s="36"/>
      <c r="AN5" s="34"/>
      <c r="AO5" s="249" t="s">
        <v>84</v>
      </c>
      <c r="AP5" s="249"/>
      <c r="AQ5" s="249"/>
      <c r="AR5" s="249"/>
      <c r="AS5" s="249"/>
      <c r="AT5" s="36"/>
      <c r="AV5" s="34"/>
      <c r="AW5" s="249" t="s">
        <v>115</v>
      </c>
      <c r="AX5" s="249"/>
      <c r="AY5" s="249"/>
      <c r="AZ5" s="249"/>
      <c r="BA5" s="249"/>
      <c r="BB5" s="36"/>
    </row>
    <row r="6" spans="2:54" x14ac:dyDescent="0.2">
      <c r="B6" s="34"/>
      <c r="C6" s="35" t="s">
        <v>13</v>
      </c>
      <c r="D6" s="37" t="s">
        <v>16</v>
      </c>
      <c r="E6" s="38"/>
      <c r="G6" s="34"/>
      <c r="H6" s="35" t="s">
        <v>204</v>
      </c>
      <c r="I6" s="36"/>
      <c r="K6" s="34"/>
      <c r="L6" s="35" t="s">
        <v>3</v>
      </c>
      <c r="M6" s="36"/>
      <c r="O6" s="34"/>
      <c r="P6" s="35" t="s">
        <v>56</v>
      </c>
      <c r="Q6" s="37" t="s">
        <v>59</v>
      </c>
      <c r="R6" s="36"/>
      <c r="T6" s="34"/>
      <c r="U6" s="39" t="s">
        <v>142</v>
      </c>
      <c r="V6" s="36"/>
      <c r="X6" s="34"/>
      <c r="Y6" s="35" t="s">
        <v>216</v>
      </c>
      <c r="Z6" s="35" t="s">
        <v>215</v>
      </c>
      <c r="AA6" s="40">
        <v>236993</v>
      </c>
      <c r="AB6" s="41" t="s">
        <v>108</v>
      </c>
      <c r="AC6" s="42" t="s">
        <v>108</v>
      </c>
      <c r="AD6" s="36"/>
      <c r="AF6" s="34"/>
      <c r="AG6" s="250"/>
      <c r="AH6" s="250"/>
      <c r="AI6" s="250"/>
      <c r="AJ6" s="250"/>
      <c r="AK6" s="250"/>
      <c r="AL6" s="36"/>
      <c r="AN6" s="34"/>
      <c r="AO6" s="250"/>
      <c r="AP6" s="250"/>
      <c r="AQ6" s="250"/>
      <c r="AR6" s="250"/>
      <c r="AS6" s="250"/>
      <c r="AT6" s="36"/>
      <c r="AV6" s="34"/>
      <c r="AW6" s="250"/>
      <c r="AX6" s="250"/>
      <c r="AY6" s="250"/>
      <c r="AZ6" s="250"/>
      <c r="BA6" s="250"/>
      <c r="BB6" s="36"/>
    </row>
    <row r="7" spans="2:54" x14ac:dyDescent="0.2">
      <c r="B7" s="34"/>
      <c r="C7" s="35" t="s">
        <v>19</v>
      </c>
      <c r="D7" s="37" t="s">
        <v>22</v>
      </c>
      <c r="E7" s="38"/>
      <c r="G7" s="34"/>
      <c r="H7" s="35" t="s">
        <v>205</v>
      </c>
      <c r="I7" s="36"/>
      <c r="K7" s="34"/>
      <c r="L7" s="35" t="s">
        <v>8</v>
      </c>
      <c r="M7" s="36"/>
      <c r="O7" s="34"/>
      <c r="P7" s="35" t="s">
        <v>57</v>
      </c>
      <c r="Q7" s="37" t="s">
        <v>60</v>
      </c>
      <c r="R7" s="36"/>
      <c r="T7" s="34"/>
      <c r="U7" s="39" t="s">
        <v>148</v>
      </c>
      <c r="V7" s="36"/>
      <c r="X7" s="34"/>
      <c r="Y7" s="35" t="s">
        <v>37</v>
      </c>
      <c r="Z7" s="35" t="s">
        <v>30</v>
      </c>
      <c r="AA7" s="43">
        <v>2005479</v>
      </c>
      <c r="AB7" s="35" t="s">
        <v>108</v>
      </c>
      <c r="AC7" s="44" t="s">
        <v>108</v>
      </c>
      <c r="AD7" s="36"/>
      <c r="AF7" s="34"/>
      <c r="AG7" s="250"/>
      <c r="AH7" s="250"/>
      <c r="AI7" s="250"/>
      <c r="AJ7" s="250"/>
      <c r="AK7" s="250"/>
      <c r="AL7" s="36"/>
      <c r="AN7" s="34"/>
      <c r="AO7" s="250"/>
      <c r="AP7" s="250"/>
      <c r="AQ7" s="250"/>
      <c r="AR7" s="250"/>
      <c r="AS7" s="250"/>
      <c r="AT7" s="36"/>
      <c r="AV7" s="34"/>
      <c r="AW7" s="250"/>
      <c r="AX7" s="250"/>
      <c r="AY7" s="250"/>
      <c r="AZ7" s="250"/>
      <c r="BA7" s="250"/>
      <c r="BB7" s="36"/>
    </row>
    <row r="8" spans="2:54" x14ac:dyDescent="0.2">
      <c r="B8" s="34"/>
      <c r="C8" s="35" t="s">
        <v>12</v>
      </c>
      <c r="D8" s="37" t="s">
        <v>7</v>
      </c>
      <c r="E8" s="38"/>
      <c r="G8" s="34"/>
      <c r="H8" s="35" t="s">
        <v>24</v>
      </c>
      <c r="I8" s="36"/>
      <c r="K8" s="34"/>
      <c r="L8" s="35" t="s">
        <v>26</v>
      </c>
      <c r="M8" s="36"/>
      <c r="O8" s="34"/>
      <c r="P8" s="35" t="s">
        <v>58</v>
      </c>
      <c r="Q8" s="37" t="s">
        <v>61</v>
      </c>
      <c r="R8" s="36"/>
      <c r="T8" s="34"/>
      <c r="U8" s="39" t="s">
        <v>143</v>
      </c>
      <c r="V8" s="36"/>
      <c r="X8" s="34"/>
      <c r="Y8" s="35" t="s">
        <v>197</v>
      </c>
      <c r="Z8" s="35" t="s">
        <v>31</v>
      </c>
      <c r="AA8" s="43">
        <v>311387</v>
      </c>
      <c r="AB8" s="35">
        <v>259578</v>
      </c>
      <c r="AC8" s="44" t="s">
        <v>108</v>
      </c>
      <c r="AD8" s="36"/>
      <c r="AF8" s="34"/>
      <c r="AG8" s="35"/>
      <c r="AH8" s="35"/>
      <c r="AI8" s="35"/>
      <c r="AJ8" s="35"/>
      <c r="AK8" s="35"/>
      <c r="AL8" s="36"/>
      <c r="AN8" s="34"/>
      <c r="AO8" s="35"/>
      <c r="AP8" s="35"/>
      <c r="AQ8" s="35"/>
      <c r="AR8" s="35"/>
      <c r="AS8" s="35"/>
      <c r="AT8" s="36"/>
      <c r="AV8" s="34"/>
      <c r="AW8" s="35"/>
      <c r="AX8" s="35"/>
      <c r="AY8" s="35"/>
      <c r="AZ8" s="35"/>
      <c r="BA8" s="35"/>
      <c r="BB8" s="36"/>
    </row>
    <row r="9" spans="2:54" ht="13.5" thickBot="1" x14ac:dyDescent="0.25">
      <c r="B9" s="34"/>
      <c r="C9" s="35" t="s">
        <v>17</v>
      </c>
      <c r="D9" s="37" t="s">
        <v>20</v>
      </c>
      <c r="E9" s="38"/>
      <c r="G9" s="34"/>
      <c r="H9" s="35" t="s">
        <v>202</v>
      </c>
      <c r="I9" s="36"/>
      <c r="K9" s="34"/>
      <c r="L9" s="35" t="s">
        <v>106</v>
      </c>
      <c r="M9" s="36"/>
      <c r="O9" s="45"/>
      <c r="P9" s="46"/>
      <c r="Q9" s="47"/>
      <c r="R9" s="48"/>
      <c r="T9" s="34"/>
      <c r="U9" s="39" t="s">
        <v>136</v>
      </c>
      <c r="V9" s="36"/>
      <c r="X9" s="34"/>
      <c r="Y9" s="35" t="s">
        <v>38</v>
      </c>
      <c r="Z9" s="35" t="s">
        <v>32</v>
      </c>
      <c r="AA9" s="43">
        <v>338725</v>
      </c>
      <c r="AB9" s="35" t="s">
        <v>108</v>
      </c>
      <c r="AC9" s="44" t="s">
        <v>108</v>
      </c>
      <c r="AD9" s="36"/>
      <c r="AF9" s="34"/>
      <c r="AG9" s="35"/>
      <c r="AH9" s="35"/>
      <c r="AI9" s="35"/>
      <c r="AJ9" s="35"/>
      <c r="AK9" s="35"/>
      <c r="AL9" s="36"/>
      <c r="AN9" s="34"/>
      <c r="AO9" s="2" t="s">
        <v>87</v>
      </c>
      <c r="AP9" s="94">
        <v>3</v>
      </c>
      <c r="AQ9" s="49">
        <v>1</v>
      </c>
      <c r="AR9" s="35"/>
      <c r="AS9" s="35"/>
      <c r="AT9" s="36"/>
      <c r="AV9" s="34"/>
      <c r="AW9" s="258" t="s">
        <v>132</v>
      </c>
      <c r="AX9" s="258"/>
      <c r="AY9" s="259"/>
      <c r="AZ9" s="50">
        <v>0</v>
      </c>
      <c r="BB9" s="36"/>
    </row>
    <row r="10" spans="2:54" ht="13.5" thickBot="1" x14ac:dyDescent="0.25">
      <c r="B10" s="34"/>
      <c r="C10" s="35" t="s">
        <v>161</v>
      </c>
      <c r="D10" s="37" t="s">
        <v>162</v>
      </c>
      <c r="E10" s="38"/>
      <c r="G10" s="45"/>
      <c r="H10" s="46"/>
      <c r="I10" s="48"/>
      <c r="K10" s="34"/>
      <c r="L10" s="35" t="s">
        <v>112</v>
      </c>
      <c r="M10" s="36"/>
      <c r="T10" s="34"/>
      <c r="U10" s="39" t="s">
        <v>113</v>
      </c>
      <c r="V10" s="36"/>
      <c r="X10" s="34"/>
      <c r="Y10" s="35" t="s">
        <v>39</v>
      </c>
      <c r="Z10" s="35" t="s">
        <v>33</v>
      </c>
      <c r="AA10" s="43">
        <v>314721</v>
      </c>
      <c r="AB10" s="35" t="s">
        <v>108</v>
      </c>
      <c r="AC10" s="44" t="s">
        <v>108</v>
      </c>
      <c r="AD10" s="36"/>
      <c r="AF10" s="34"/>
      <c r="AG10" s="35"/>
      <c r="AH10" s="35"/>
      <c r="AI10" s="35"/>
      <c r="AJ10" s="35"/>
      <c r="AK10" s="35"/>
      <c r="AL10" s="36"/>
      <c r="AN10" s="34"/>
      <c r="AO10" s="35"/>
      <c r="AR10" s="35"/>
      <c r="AS10" s="35"/>
      <c r="AT10" s="36"/>
      <c r="AV10" s="34"/>
      <c r="AW10" s="51" t="s">
        <v>127</v>
      </c>
      <c r="AX10" s="52" t="s">
        <v>122</v>
      </c>
      <c r="AY10" s="52" t="s">
        <v>123</v>
      </c>
      <c r="AZ10" s="52" t="s">
        <v>124</v>
      </c>
      <c r="BA10" s="53" t="s">
        <v>125</v>
      </c>
      <c r="BB10" s="36"/>
    </row>
    <row r="11" spans="2:54" ht="13.5" thickBot="1" x14ac:dyDescent="0.25">
      <c r="B11" s="34"/>
      <c r="C11" s="35" t="s">
        <v>14</v>
      </c>
      <c r="D11" s="37" t="s">
        <v>15</v>
      </c>
      <c r="E11" s="38"/>
      <c r="K11" s="34"/>
      <c r="L11" s="35" t="s">
        <v>199</v>
      </c>
      <c r="M11" s="36"/>
      <c r="T11" s="34"/>
      <c r="U11" s="39" t="s">
        <v>114</v>
      </c>
      <c r="V11" s="36"/>
      <c r="X11" s="34"/>
      <c r="Y11" s="35" t="s">
        <v>40</v>
      </c>
      <c r="Z11" s="35" t="s">
        <v>45</v>
      </c>
      <c r="AA11" s="43">
        <v>2030020</v>
      </c>
      <c r="AB11" s="35" t="s">
        <v>108</v>
      </c>
      <c r="AC11" s="44" t="s">
        <v>108</v>
      </c>
      <c r="AD11" s="36"/>
      <c r="AF11" s="34"/>
      <c r="AG11" s="35"/>
      <c r="AH11" s="35"/>
      <c r="AI11" s="35"/>
      <c r="AJ11" s="35"/>
      <c r="AK11" s="35"/>
      <c r="AL11" s="36"/>
      <c r="AN11" s="34"/>
      <c r="AO11" s="35"/>
      <c r="AP11" s="54">
        <v>13.6</v>
      </c>
      <c r="AQ11" s="35" t="s">
        <v>85</v>
      </c>
      <c r="AR11" s="35"/>
      <c r="AS11" s="35"/>
      <c r="AT11" s="36"/>
      <c r="AV11" s="34"/>
      <c r="AW11" s="55" t="s">
        <v>116</v>
      </c>
      <c r="AX11" s="56" t="s">
        <v>117</v>
      </c>
      <c r="AY11" s="56" t="s">
        <v>126</v>
      </c>
      <c r="AZ11" s="56" t="s">
        <v>116</v>
      </c>
      <c r="BA11" s="57" t="s">
        <v>131</v>
      </c>
      <c r="BB11" s="36"/>
    </row>
    <row r="12" spans="2:54" ht="13.5" thickBot="1" x14ac:dyDescent="0.25">
      <c r="B12" s="34"/>
      <c r="C12" s="35" t="s">
        <v>18</v>
      </c>
      <c r="D12" s="37" t="s">
        <v>164</v>
      </c>
      <c r="E12" s="38"/>
      <c r="K12" s="34"/>
      <c r="L12" s="35" t="s">
        <v>201</v>
      </c>
      <c r="M12" s="36"/>
      <c r="T12" s="34"/>
      <c r="U12" s="39" t="s">
        <v>146</v>
      </c>
      <c r="V12" s="36"/>
      <c r="X12" s="34"/>
      <c r="Y12" s="35" t="s">
        <v>41</v>
      </c>
      <c r="Z12" s="35" t="s">
        <v>34</v>
      </c>
      <c r="AA12" s="43">
        <v>340645</v>
      </c>
      <c r="AB12" s="35" t="s">
        <v>108</v>
      </c>
      <c r="AC12" s="44" t="s">
        <v>108</v>
      </c>
      <c r="AD12" s="36"/>
      <c r="AF12" s="34"/>
      <c r="AG12" s="35"/>
      <c r="AH12" s="35"/>
      <c r="AI12" s="35"/>
      <c r="AJ12" s="35"/>
      <c r="AK12" s="35"/>
      <c r="AL12" s="36"/>
      <c r="AN12" s="34"/>
      <c r="AO12" s="35"/>
      <c r="AP12" s="58">
        <f>AP11/AP9</f>
        <v>4.5333333333333332</v>
      </c>
      <c r="AQ12" s="35" t="s">
        <v>86</v>
      </c>
      <c r="AR12" s="35"/>
      <c r="AS12" s="35"/>
      <c r="AT12" s="36"/>
      <c r="AV12" s="34"/>
      <c r="AW12" s="59">
        <v>100</v>
      </c>
      <c r="AX12" s="60">
        <f t="shared" ref="AX12:AX17" si="0">AVERAGE(AX43,AY43)</f>
        <v>7.1499999999999994E-2</v>
      </c>
      <c r="AY12" s="60">
        <f>+AX12/1</f>
        <v>7.1499999999999994E-2</v>
      </c>
      <c r="AZ12" s="61">
        <f t="shared" ref="AZ12:AZ18" si="1">$AZ$9</f>
        <v>0</v>
      </c>
      <c r="BA12" s="62">
        <f>((((AW12+AZ12)/1000)*1)-AY12)*10000</f>
        <v>285.00000000000011</v>
      </c>
      <c r="BB12" s="36"/>
    </row>
    <row r="13" spans="2:54" ht="13.5" thickBot="1" x14ac:dyDescent="0.25">
      <c r="B13" s="34"/>
      <c r="C13" s="35" t="s">
        <v>163</v>
      </c>
      <c r="D13" s="37" t="s">
        <v>21</v>
      </c>
      <c r="E13" s="38"/>
      <c r="K13" s="45"/>
      <c r="L13" s="46"/>
      <c r="M13" s="48"/>
      <c r="T13" s="34"/>
      <c r="U13" s="39" t="s">
        <v>147</v>
      </c>
      <c r="V13" s="36"/>
      <c r="X13" s="34"/>
      <c r="Y13" s="35" t="s">
        <v>189</v>
      </c>
      <c r="Z13" s="35" t="s">
        <v>35</v>
      </c>
      <c r="AA13" s="43">
        <v>2076883</v>
      </c>
      <c r="AB13" s="35">
        <v>314270</v>
      </c>
      <c r="AC13" s="44" t="s">
        <v>108</v>
      </c>
      <c r="AD13" s="36"/>
      <c r="AF13" s="34"/>
      <c r="AG13" s="35"/>
      <c r="AH13" s="35"/>
      <c r="AI13" s="35"/>
      <c r="AJ13" s="35"/>
      <c r="AK13" s="35"/>
      <c r="AL13" s="36"/>
      <c r="AN13" s="34"/>
      <c r="AO13" s="35"/>
      <c r="AP13" s="54">
        <f>SUM(AP11:AP12)</f>
        <v>18.133333333333333</v>
      </c>
      <c r="AQ13" s="35" t="s">
        <v>88</v>
      </c>
      <c r="AR13" s="35"/>
      <c r="AS13" s="35"/>
      <c r="AT13" s="36"/>
      <c r="AV13" s="34"/>
      <c r="AW13" s="63">
        <v>110</v>
      </c>
      <c r="AX13" s="64">
        <f t="shared" si="0"/>
        <v>8.1500000000000003E-2</v>
      </c>
      <c r="AY13" s="64">
        <f t="shared" ref="AY13:AY17" si="2">+AX13/1</f>
        <v>8.1500000000000003E-2</v>
      </c>
      <c r="AZ13" s="65">
        <f t="shared" si="1"/>
        <v>0</v>
      </c>
      <c r="BA13" s="66">
        <f t="shared" ref="BA13:BA17" si="3">((((AW13+AZ13)/1000)*1)-AY13)*10000</f>
        <v>285</v>
      </c>
      <c r="BB13" s="36"/>
    </row>
    <row r="14" spans="2:54" ht="13.5" thickBot="1" x14ac:dyDescent="0.25">
      <c r="B14" s="45"/>
      <c r="C14" s="46"/>
      <c r="D14" s="46"/>
      <c r="E14" s="48"/>
      <c r="T14" s="34"/>
      <c r="U14" s="39" t="s">
        <v>152</v>
      </c>
      <c r="V14" s="36"/>
      <c r="X14" s="34"/>
      <c r="Y14" s="35" t="s">
        <v>42</v>
      </c>
      <c r="Z14" s="35" t="s">
        <v>36</v>
      </c>
      <c r="AA14" s="43">
        <v>430792</v>
      </c>
      <c r="AB14" s="35" t="s">
        <v>108</v>
      </c>
      <c r="AC14" s="44" t="s">
        <v>108</v>
      </c>
      <c r="AD14" s="36"/>
      <c r="AF14" s="34"/>
      <c r="AG14" s="35"/>
      <c r="AH14" s="35"/>
      <c r="AI14" s="35"/>
      <c r="AJ14" s="35"/>
      <c r="AK14" s="35"/>
      <c r="AL14" s="36"/>
      <c r="AN14" s="34"/>
      <c r="AO14" s="35"/>
      <c r="AP14" s="35"/>
      <c r="AQ14" s="35"/>
      <c r="AR14" s="35"/>
      <c r="AS14" s="35"/>
      <c r="AT14" s="36"/>
      <c r="AV14" s="34"/>
      <c r="AW14" s="63">
        <v>120</v>
      </c>
      <c r="AX14" s="64">
        <f t="shared" si="0"/>
        <v>9.1499999999999998E-2</v>
      </c>
      <c r="AY14" s="64">
        <f t="shared" si="2"/>
        <v>9.1499999999999998E-2</v>
      </c>
      <c r="AZ14" s="65">
        <f t="shared" si="1"/>
        <v>0</v>
      </c>
      <c r="BA14" s="66">
        <f t="shared" si="3"/>
        <v>285</v>
      </c>
      <c r="BB14" s="36"/>
    </row>
    <row r="15" spans="2:54" x14ac:dyDescent="0.2">
      <c r="T15" s="34"/>
      <c r="U15" s="39" t="s">
        <v>151</v>
      </c>
      <c r="V15" s="36"/>
      <c r="X15" s="34"/>
      <c r="Y15" s="35" t="s">
        <v>43</v>
      </c>
      <c r="Z15" s="35" t="s">
        <v>44</v>
      </c>
      <c r="AA15" s="43">
        <v>209637</v>
      </c>
      <c r="AB15" s="35" t="s">
        <v>108</v>
      </c>
      <c r="AC15" s="44" t="s">
        <v>108</v>
      </c>
      <c r="AD15" s="36"/>
      <c r="AF15" s="34"/>
      <c r="AG15" s="35"/>
      <c r="AH15" s="35"/>
      <c r="AI15" s="35"/>
      <c r="AJ15" s="35"/>
      <c r="AK15" s="35"/>
      <c r="AL15" s="36"/>
      <c r="AN15" s="34"/>
      <c r="AO15" s="67" t="s">
        <v>89</v>
      </c>
      <c r="AP15" s="35"/>
      <c r="AQ15" s="35"/>
      <c r="AR15" s="35"/>
      <c r="AS15" s="35"/>
      <c r="AT15" s="36"/>
      <c r="AV15" s="34"/>
      <c r="AW15" s="63">
        <v>130</v>
      </c>
      <c r="AX15" s="64">
        <f t="shared" si="0"/>
        <v>0.10150000000000001</v>
      </c>
      <c r="AY15" s="64">
        <f t="shared" si="2"/>
        <v>0.10150000000000001</v>
      </c>
      <c r="AZ15" s="65">
        <f t="shared" si="1"/>
        <v>0</v>
      </c>
      <c r="BA15" s="66">
        <f t="shared" si="3"/>
        <v>285</v>
      </c>
      <c r="BB15" s="36"/>
    </row>
    <row r="16" spans="2:54" x14ac:dyDescent="0.2">
      <c r="T16" s="34"/>
      <c r="U16" s="39" t="s">
        <v>144</v>
      </c>
      <c r="V16" s="36"/>
      <c r="X16" s="34"/>
      <c r="Y16" s="35" t="s">
        <v>46</v>
      </c>
      <c r="Z16" s="35" t="s">
        <v>47</v>
      </c>
      <c r="AA16" s="43">
        <v>334892</v>
      </c>
      <c r="AB16" s="35" t="s">
        <v>108</v>
      </c>
      <c r="AC16" s="44" t="s">
        <v>108</v>
      </c>
      <c r="AD16" s="36"/>
      <c r="AF16" s="34"/>
      <c r="AG16" s="35"/>
      <c r="AH16" s="35"/>
      <c r="AI16" s="35"/>
      <c r="AJ16" s="35"/>
      <c r="AK16" s="35"/>
      <c r="AL16" s="36"/>
      <c r="AN16" s="34"/>
      <c r="AO16" s="35"/>
      <c r="AP16" s="35"/>
      <c r="AQ16" s="35"/>
      <c r="AR16" s="35"/>
      <c r="AS16" s="35"/>
      <c r="AT16" s="36"/>
      <c r="AV16" s="34"/>
      <c r="AW16" s="63">
        <v>140</v>
      </c>
      <c r="AX16" s="64">
        <f t="shared" si="0"/>
        <v>0.1115</v>
      </c>
      <c r="AY16" s="64">
        <f t="shared" si="2"/>
        <v>0.1115</v>
      </c>
      <c r="AZ16" s="65">
        <f t="shared" si="1"/>
        <v>0</v>
      </c>
      <c r="BA16" s="66">
        <f t="shared" si="3"/>
        <v>285.00000000000011</v>
      </c>
      <c r="BB16" s="36"/>
    </row>
    <row r="17" spans="20:54" x14ac:dyDescent="0.2">
      <c r="T17" s="34"/>
      <c r="U17" s="39" t="s">
        <v>145</v>
      </c>
      <c r="V17" s="36"/>
      <c r="X17" s="34"/>
      <c r="Y17" s="35" t="s">
        <v>48</v>
      </c>
      <c r="Z17" s="35" t="s">
        <v>47</v>
      </c>
      <c r="AA17" s="43">
        <v>372097</v>
      </c>
      <c r="AB17" s="35" t="s">
        <v>108</v>
      </c>
      <c r="AC17" s="44" t="s">
        <v>108</v>
      </c>
      <c r="AD17" s="36"/>
      <c r="AF17" s="34"/>
      <c r="AG17" s="35"/>
      <c r="AH17" s="35"/>
      <c r="AI17" s="35"/>
      <c r="AJ17" s="35"/>
      <c r="AK17" s="35"/>
      <c r="AL17" s="36"/>
      <c r="AN17" s="34"/>
      <c r="AO17" s="253">
        <v>900</v>
      </c>
      <c r="AP17" s="253"/>
      <c r="AQ17" s="35" t="s">
        <v>90</v>
      </c>
      <c r="AR17" s="35"/>
      <c r="AS17" s="35"/>
      <c r="AT17" s="36"/>
      <c r="AV17" s="34"/>
      <c r="AW17" s="63">
        <v>150</v>
      </c>
      <c r="AX17" s="64">
        <f t="shared" si="0"/>
        <v>0.1215</v>
      </c>
      <c r="AY17" s="64">
        <f t="shared" si="2"/>
        <v>0.1215</v>
      </c>
      <c r="AZ17" s="65">
        <f t="shared" si="1"/>
        <v>0</v>
      </c>
      <c r="BA17" s="66">
        <f t="shared" si="3"/>
        <v>285</v>
      </c>
      <c r="BB17" s="36"/>
    </row>
    <row r="18" spans="20:54" ht="13.5" thickBot="1" x14ac:dyDescent="0.25">
      <c r="T18" s="34"/>
      <c r="U18" s="39" t="s">
        <v>150</v>
      </c>
      <c r="V18" s="36"/>
      <c r="X18" s="34"/>
      <c r="Y18" s="35" t="s">
        <v>49</v>
      </c>
      <c r="Z18" s="35" t="s">
        <v>51</v>
      </c>
      <c r="AA18" s="43">
        <v>304308</v>
      </c>
      <c r="AB18" s="35" t="s">
        <v>108</v>
      </c>
      <c r="AC18" s="44" t="s">
        <v>108</v>
      </c>
      <c r="AD18" s="36"/>
      <c r="AF18" s="34"/>
      <c r="AG18" s="35"/>
      <c r="AH18" s="35"/>
      <c r="AI18" s="35"/>
      <c r="AJ18" s="35"/>
      <c r="AK18" s="35"/>
      <c r="AL18" s="36"/>
      <c r="AN18" s="34"/>
      <c r="AO18" s="255">
        <v>1000</v>
      </c>
      <c r="AP18" s="255">
        <v>1000</v>
      </c>
      <c r="AQ18" s="35" t="s">
        <v>91</v>
      </c>
      <c r="AR18" s="37"/>
      <c r="AS18" s="68"/>
      <c r="AT18" s="36"/>
      <c r="AV18" s="34"/>
      <c r="AW18" s="69">
        <v>160</v>
      </c>
      <c r="AX18" s="70"/>
      <c r="AY18" s="70"/>
      <c r="AZ18" s="71">
        <f t="shared" si="1"/>
        <v>0</v>
      </c>
      <c r="BA18" s="72"/>
      <c r="BB18" s="36"/>
    </row>
    <row r="19" spans="20:54" ht="13.5" thickBot="1" x14ac:dyDescent="0.25">
      <c r="T19" s="34"/>
      <c r="U19" s="39" t="s">
        <v>149</v>
      </c>
      <c r="V19" s="36"/>
      <c r="X19" s="34"/>
      <c r="Y19" s="35" t="s">
        <v>50</v>
      </c>
      <c r="Z19" s="35" t="s">
        <v>51</v>
      </c>
      <c r="AA19" s="43">
        <v>304309</v>
      </c>
      <c r="AB19" s="35" t="s">
        <v>108</v>
      </c>
      <c r="AC19" s="44" t="s">
        <v>108</v>
      </c>
      <c r="AD19" s="36"/>
      <c r="AF19" s="34"/>
      <c r="AG19" s="35"/>
      <c r="AH19" s="35"/>
      <c r="AI19" s="35"/>
      <c r="AJ19" s="35"/>
      <c r="AK19" s="35"/>
      <c r="AL19" s="36"/>
      <c r="AN19" s="34"/>
      <c r="AO19" s="253">
        <f>((AP11*AO17)+(AP12*AO18))/(AP13)</f>
        <v>925</v>
      </c>
      <c r="AP19" s="253"/>
      <c r="AQ19" s="35" t="s">
        <v>92</v>
      </c>
      <c r="AR19" s="37"/>
      <c r="AS19" s="37"/>
      <c r="AT19" s="36"/>
      <c r="AV19" s="34"/>
      <c r="BA19" s="73">
        <f>AVERAGE(BA12:BA18)</f>
        <v>285</v>
      </c>
      <c r="BB19" s="36"/>
    </row>
    <row r="20" spans="20:54" x14ac:dyDescent="0.2">
      <c r="T20" s="34"/>
      <c r="U20" s="39" t="s">
        <v>121</v>
      </c>
      <c r="V20" s="36"/>
      <c r="X20" s="34"/>
      <c r="Y20" s="35" t="s">
        <v>52</v>
      </c>
      <c r="Z20" s="35" t="s">
        <v>54</v>
      </c>
      <c r="AA20" s="43">
        <v>304329</v>
      </c>
      <c r="AB20" s="35" t="s">
        <v>108</v>
      </c>
      <c r="AC20" s="44" t="s">
        <v>108</v>
      </c>
      <c r="AD20" s="36"/>
      <c r="AF20" s="34"/>
      <c r="AG20" s="35"/>
      <c r="AH20" s="35"/>
      <c r="AI20" s="35"/>
      <c r="AJ20" s="35"/>
      <c r="AK20" s="35"/>
      <c r="AL20" s="36"/>
      <c r="AN20" s="34"/>
      <c r="AO20" s="35"/>
      <c r="AP20" s="35"/>
      <c r="AQ20" s="140" t="s">
        <v>193</v>
      </c>
      <c r="AR20" s="74"/>
      <c r="AS20" s="75"/>
      <c r="AT20" s="36"/>
      <c r="AV20" s="34"/>
      <c r="AW20" s="35"/>
      <c r="AX20" s="35"/>
      <c r="AY20" s="35"/>
      <c r="AZ20" s="35"/>
      <c r="BA20" s="35"/>
      <c r="BB20" s="36"/>
    </row>
    <row r="21" spans="20:54" ht="13.5" thickBot="1" x14ac:dyDescent="0.25">
      <c r="T21" s="45"/>
      <c r="U21" s="76" t="s">
        <v>63</v>
      </c>
      <c r="V21" s="48"/>
      <c r="X21" s="34"/>
      <c r="Y21" s="35" t="s">
        <v>53</v>
      </c>
      <c r="Z21" s="35" t="s">
        <v>54</v>
      </c>
      <c r="AA21" s="77">
        <v>304331</v>
      </c>
      <c r="AB21" s="78" t="s">
        <v>108</v>
      </c>
      <c r="AC21" s="79" t="s">
        <v>108</v>
      </c>
      <c r="AD21" s="36"/>
      <c r="AF21" s="34"/>
      <c r="AG21" s="35"/>
      <c r="AH21" s="35"/>
      <c r="AI21" s="35"/>
      <c r="AJ21" s="35"/>
      <c r="AK21" s="35"/>
      <c r="AL21" s="36"/>
      <c r="AN21" s="34"/>
      <c r="AO21" s="35"/>
      <c r="AP21" s="35"/>
      <c r="AQ21" s="74"/>
      <c r="AR21" s="74"/>
      <c r="AS21" s="75"/>
      <c r="AT21" s="36"/>
      <c r="AV21" s="34"/>
      <c r="AW21" s="258" t="s">
        <v>133</v>
      </c>
      <c r="AX21" s="258"/>
      <c r="AY21" s="259"/>
      <c r="AZ21" s="50">
        <v>0</v>
      </c>
      <c r="BB21" s="36"/>
    </row>
    <row r="22" spans="20:54" x14ac:dyDescent="0.2">
      <c r="U22" s="2" t="s">
        <v>63</v>
      </c>
      <c r="X22" s="34"/>
      <c r="Y22" s="35"/>
      <c r="Z22" s="35"/>
      <c r="AA22" s="35"/>
      <c r="AB22" s="35"/>
      <c r="AC22" s="35"/>
      <c r="AD22" s="36"/>
      <c r="AF22" s="34"/>
      <c r="AG22" s="35"/>
      <c r="AH22" s="35"/>
      <c r="AI22" s="35"/>
      <c r="AJ22" s="35"/>
      <c r="AK22" s="35"/>
      <c r="AL22" s="36"/>
      <c r="AN22" s="34"/>
      <c r="AO22" s="67" t="s">
        <v>93</v>
      </c>
      <c r="AP22" s="35"/>
      <c r="AQ22" s="35"/>
      <c r="AR22" s="35"/>
      <c r="AS22" s="35"/>
      <c r="AT22" s="36"/>
      <c r="AV22" s="34"/>
      <c r="AW22" s="51" t="s">
        <v>127</v>
      </c>
      <c r="AX22" s="52" t="s">
        <v>122</v>
      </c>
      <c r="AY22" s="52" t="s">
        <v>123</v>
      </c>
      <c r="AZ22" s="52" t="s">
        <v>124</v>
      </c>
      <c r="BA22" s="53" t="s">
        <v>125</v>
      </c>
      <c r="BB22" s="36"/>
    </row>
    <row r="23" spans="20:54" ht="13.5" thickBot="1" x14ac:dyDescent="0.25">
      <c r="U23" s="2" t="s">
        <v>63</v>
      </c>
      <c r="X23" s="34"/>
      <c r="Y23" s="33" t="s">
        <v>78</v>
      </c>
      <c r="Z23" s="35"/>
      <c r="AA23" s="35"/>
      <c r="AB23" s="35"/>
      <c r="AC23" s="35"/>
      <c r="AD23" s="36"/>
      <c r="AF23" s="34"/>
      <c r="AG23" s="35"/>
      <c r="AH23" s="80"/>
      <c r="AI23" s="35"/>
      <c r="AJ23" s="35"/>
      <c r="AK23" s="35"/>
      <c r="AL23" s="36"/>
      <c r="AN23" s="34"/>
      <c r="AO23" s="35"/>
      <c r="AP23" s="35"/>
      <c r="AQ23" s="35"/>
      <c r="AR23" s="35"/>
      <c r="AS23" s="35"/>
      <c r="AT23" s="36"/>
      <c r="AV23" s="34"/>
      <c r="AW23" s="55" t="s">
        <v>116</v>
      </c>
      <c r="AX23" s="56" t="s">
        <v>117</v>
      </c>
      <c r="AY23" s="56" t="s">
        <v>126</v>
      </c>
      <c r="AZ23" s="56" t="s">
        <v>116</v>
      </c>
      <c r="BA23" s="57" t="s">
        <v>131</v>
      </c>
      <c r="BB23" s="36"/>
    </row>
    <row r="24" spans="20:54" x14ac:dyDescent="0.2">
      <c r="U24" s="39"/>
      <c r="X24" s="34"/>
      <c r="Y24" s="33" t="s">
        <v>79</v>
      </c>
      <c r="Z24" s="35"/>
      <c r="AA24" s="35"/>
      <c r="AB24" s="35"/>
      <c r="AC24" s="35"/>
      <c r="AD24" s="36"/>
      <c r="AF24" s="34"/>
      <c r="AG24" s="35"/>
      <c r="AH24" s="35"/>
      <c r="AI24" s="35"/>
      <c r="AJ24" s="35"/>
      <c r="AK24" s="35"/>
      <c r="AL24" s="36"/>
      <c r="AN24" s="34"/>
      <c r="AO24" s="254">
        <f>AP13</f>
        <v>18.133333333333333</v>
      </c>
      <c r="AP24" s="254"/>
      <c r="AQ24" s="35" t="s">
        <v>95</v>
      </c>
      <c r="AR24" s="35"/>
      <c r="AS24" s="35"/>
      <c r="AT24" s="36"/>
      <c r="AV24" s="34"/>
      <c r="AW24" s="59">
        <v>120</v>
      </c>
      <c r="AX24" s="60"/>
      <c r="AY24" s="60"/>
      <c r="AZ24" s="61">
        <f t="shared" ref="AZ24:AZ33" si="4">$AZ$9</f>
        <v>0</v>
      </c>
      <c r="BA24" s="62"/>
      <c r="BB24" s="36"/>
    </row>
    <row r="25" spans="20:54" ht="13.5" thickBot="1" x14ac:dyDescent="0.25">
      <c r="X25" s="45"/>
      <c r="Y25" s="46"/>
      <c r="Z25" s="46"/>
      <c r="AA25" s="46"/>
      <c r="AB25" s="46"/>
      <c r="AC25" s="46"/>
      <c r="AD25" s="48"/>
      <c r="AF25" s="34"/>
      <c r="AG25" s="35"/>
      <c r="AH25" s="35"/>
      <c r="AI25" s="35"/>
      <c r="AJ25" s="35"/>
      <c r="AK25" s="35"/>
      <c r="AL25" s="36"/>
      <c r="AN25" s="34"/>
      <c r="AO25" s="255">
        <f>AO19</f>
        <v>925</v>
      </c>
      <c r="AP25" s="255">
        <v>1000</v>
      </c>
      <c r="AQ25" s="35" t="s">
        <v>94</v>
      </c>
      <c r="AR25" s="37"/>
      <c r="AS25" s="68"/>
      <c r="AT25" s="36"/>
      <c r="AV25" s="34"/>
      <c r="AW25" s="63">
        <v>130</v>
      </c>
      <c r="AX25" s="64">
        <f t="shared" ref="AX25:AX33" si="5">AVERAGE(AZ46,BA46)</f>
        <v>9.0999999999999998E-2</v>
      </c>
      <c r="AY25" s="64">
        <f t="shared" ref="AY25:AY33" si="6">+AX25/1</f>
        <v>9.0999999999999998E-2</v>
      </c>
      <c r="AZ25" s="65">
        <f t="shared" si="4"/>
        <v>0</v>
      </c>
      <c r="BA25" s="66">
        <f t="shared" ref="BA25:BA33" si="7">((((AW25+AZ25)/1000)*1)-AY25)*10000</f>
        <v>390.00000000000006</v>
      </c>
      <c r="BB25" s="36"/>
    </row>
    <row r="26" spans="20:54" x14ac:dyDescent="0.2">
      <c r="AF26" s="34"/>
      <c r="AG26" s="81" t="s">
        <v>71</v>
      </c>
      <c r="AH26" s="82">
        <v>0</v>
      </c>
      <c r="AI26" s="35"/>
      <c r="AJ26" s="35"/>
      <c r="AK26" s="35"/>
      <c r="AL26" s="36"/>
      <c r="AN26" s="34"/>
      <c r="AO26" s="256">
        <f>AO24/AO25</f>
        <v>1.9603603603603602E-2</v>
      </c>
      <c r="AP26" s="256"/>
      <c r="AQ26" s="35" t="s">
        <v>96</v>
      </c>
      <c r="AR26" s="37"/>
      <c r="AS26" s="37"/>
      <c r="AT26" s="36"/>
      <c r="AV26" s="34"/>
      <c r="AW26" s="63">
        <v>140</v>
      </c>
      <c r="AX26" s="64">
        <f t="shared" si="5"/>
        <v>0.10050000000000001</v>
      </c>
      <c r="AY26" s="64">
        <f t="shared" si="6"/>
        <v>0.10050000000000001</v>
      </c>
      <c r="AZ26" s="65">
        <f t="shared" si="4"/>
        <v>0</v>
      </c>
      <c r="BA26" s="66">
        <f t="shared" si="7"/>
        <v>395.00000000000006</v>
      </c>
      <c r="BB26" s="36"/>
    </row>
    <row r="27" spans="20:54" ht="18.75" x14ac:dyDescent="0.2">
      <c r="AF27" s="34"/>
      <c r="AG27" s="81" t="s">
        <v>72</v>
      </c>
      <c r="AH27" s="83" t="s">
        <v>73</v>
      </c>
      <c r="AI27" s="35"/>
      <c r="AJ27" s="35"/>
      <c r="AK27" s="35"/>
      <c r="AL27" s="36"/>
      <c r="AN27" s="34"/>
      <c r="AO27" s="35"/>
      <c r="AP27" s="35"/>
      <c r="AQ27" s="74"/>
      <c r="AR27" s="74"/>
      <c r="AS27" s="75"/>
      <c r="AT27" s="36"/>
      <c r="AV27" s="34"/>
      <c r="AW27" s="63">
        <v>150</v>
      </c>
      <c r="AX27" s="64">
        <f t="shared" si="5"/>
        <v>0.1105</v>
      </c>
      <c r="AY27" s="64">
        <f t="shared" si="6"/>
        <v>0.1105</v>
      </c>
      <c r="AZ27" s="65">
        <f t="shared" si="4"/>
        <v>0</v>
      </c>
      <c r="BA27" s="66">
        <f t="shared" si="7"/>
        <v>394.99999999999994</v>
      </c>
      <c r="BB27" s="36"/>
    </row>
    <row r="28" spans="20:54" x14ac:dyDescent="0.2">
      <c r="Y28" s="35"/>
      <c r="Z28" s="84"/>
      <c r="AF28" s="34"/>
      <c r="AG28" s="81"/>
      <c r="AH28" s="83"/>
      <c r="AI28" s="35"/>
      <c r="AJ28" s="35"/>
      <c r="AK28" s="35"/>
      <c r="AL28" s="36"/>
      <c r="AN28" s="34"/>
      <c r="AO28" s="257" t="s">
        <v>97</v>
      </c>
      <c r="AP28" s="257"/>
      <c r="AQ28" s="257"/>
      <c r="AR28" s="257"/>
      <c r="AS28" s="257"/>
      <c r="AT28" s="36"/>
      <c r="AV28" s="34"/>
      <c r="AW28" s="63">
        <v>160</v>
      </c>
      <c r="AX28" s="64">
        <f t="shared" si="5"/>
        <v>0.12</v>
      </c>
      <c r="AY28" s="64">
        <f t="shared" si="6"/>
        <v>0.12</v>
      </c>
      <c r="AZ28" s="65">
        <f t="shared" si="4"/>
        <v>0</v>
      </c>
      <c r="BA28" s="66">
        <f t="shared" si="7"/>
        <v>400.00000000000006</v>
      </c>
      <c r="BB28" s="36"/>
    </row>
    <row r="29" spans="20:54" ht="12.75" customHeight="1" x14ac:dyDescent="0.2">
      <c r="Y29" s="35"/>
      <c r="Z29" s="84"/>
      <c r="AF29" s="34"/>
      <c r="AG29" s="245" t="s">
        <v>74</v>
      </c>
      <c r="AH29" s="245"/>
      <c r="AI29" s="245"/>
      <c r="AJ29" s="245"/>
      <c r="AK29" s="245"/>
      <c r="AL29" s="36"/>
      <c r="AN29" s="34"/>
      <c r="AO29" s="257"/>
      <c r="AP29" s="257"/>
      <c r="AQ29" s="257"/>
      <c r="AR29" s="257"/>
      <c r="AS29" s="257"/>
      <c r="AT29" s="36"/>
      <c r="AV29" s="34"/>
      <c r="AW29" s="63">
        <v>165</v>
      </c>
      <c r="AX29" s="64">
        <f t="shared" si="5"/>
        <v>0.13</v>
      </c>
      <c r="AY29" s="64">
        <f t="shared" si="6"/>
        <v>0.13</v>
      </c>
      <c r="AZ29" s="65">
        <f t="shared" si="4"/>
        <v>0</v>
      </c>
      <c r="BA29" s="66">
        <f t="shared" si="7"/>
        <v>350.00000000000006</v>
      </c>
      <c r="BB29" s="36"/>
    </row>
    <row r="30" spans="20:54" x14ac:dyDescent="0.2">
      <c r="Y30" s="35"/>
      <c r="Z30" s="84"/>
      <c r="AF30" s="34"/>
      <c r="AG30" s="35"/>
      <c r="AH30" s="35"/>
      <c r="AI30" s="35"/>
      <c r="AJ30" s="35"/>
      <c r="AK30" s="35"/>
      <c r="AL30" s="36"/>
      <c r="AN30" s="34"/>
      <c r="AO30" s="257"/>
      <c r="AP30" s="257"/>
      <c r="AQ30" s="257"/>
      <c r="AR30" s="257"/>
      <c r="AS30" s="257"/>
      <c r="AT30" s="36"/>
      <c r="AV30" s="34"/>
      <c r="AW30" s="63">
        <v>180</v>
      </c>
      <c r="AX30" s="64">
        <f t="shared" si="5"/>
        <v>0.14000000000000001</v>
      </c>
      <c r="AY30" s="64">
        <f t="shared" si="6"/>
        <v>0.14000000000000001</v>
      </c>
      <c r="AZ30" s="65">
        <f t="shared" si="4"/>
        <v>0</v>
      </c>
      <c r="BA30" s="66">
        <f t="shared" si="7"/>
        <v>399.99999999999977</v>
      </c>
      <c r="BB30" s="36"/>
    </row>
    <row r="31" spans="20:54" x14ac:dyDescent="0.2">
      <c r="Y31" s="35"/>
      <c r="Z31" s="84"/>
      <c r="AF31" s="34"/>
      <c r="AG31" s="37" t="s">
        <v>64</v>
      </c>
      <c r="AH31" s="37" t="s">
        <v>65</v>
      </c>
      <c r="AI31" s="37" t="s">
        <v>76</v>
      </c>
      <c r="AJ31" s="37" t="s">
        <v>75</v>
      </c>
      <c r="AK31" s="68" t="s">
        <v>67</v>
      </c>
      <c r="AL31" s="36"/>
      <c r="AN31" s="34"/>
      <c r="AO31" s="35"/>
      <c r="AP31" s="35"/>
      <c r="AQ31" s="74"/>
      <c r="AR31" s="74"/>
      <c r="AS31" s="75"/>
      <c r="AT31" s="36"/>
      <c r="AV31" s="34"/>
      <c r="AW31" s="63">
        <v>185</v>
      </c>
      <c r="AX31" s="64">
        <f t="shared" si="5"/>
        <v>0.15</v>
      </c>
      <c r="AY31" s="64">
        <f t="shared" si="6"/>
        <v>0.15</v>
      </c>
      <c r="AZ31" s="65">
        <f t="shared" si="4"/>
        <v>0</v>
      </c>
      <c r="BA31" s="66">
        <f t="shared" si="7"/>
        <v>350.00000000000006</v>
      </c>
      <c r="BB31" s="36"/>
    </row>
    <row r="32" spans="20:54" ht="25.5" x14ac:dyDescent="0.2">
      <c r="Y32" s="35"/>
      <c r="Z32" s="84"/>
      <c r="AF32" s="34"/>
      <c r="AG32" s="37" t="s">
        <v>5</v>
      </c>
      <c r="AH32" s="37" t="s">
        <v>68</v>
      </c>
      <c r="AI32" s="37" t="s">
        <v>68</v>
      </c>
      <c r="AJ32" s="37" t="s">
        <v>68</v>
      </c>
      <c r="AK32" s="37" t="s">
        <v>69</v>
      </c>
      <c r="AL32" s="36"/>
      <c r="AN32" s="34"/>
      <c r="AO32" s="85" t="s">
        <v>105</v>
      </c>
      <c r="AP32" s="252">
        <f>AO26*1000000</f>
        <v>19603.603603603602</v>
      </c>
      <c r="AQ32" s="252"/>
      <c r="AR32" s="252"/>
      <c r="AS32" s="86"/>
      <c r="AT32" s="36"/>
      <c r="AV32" s="34"/>
      <c r="AW32" s="63">
        <v>190</v>
      </c>
      <c r="AX32" s="64">
        <f t="shared" si="5"/>
        <v>0.16</v>
      </c>
      <c r="AY32" s="64">
        <f t="shared" si="6"/>
        <v>0.16</v>
      </c>
      <c r="AZ32" s="65">
        <f t="shared" si="4"/>
        <v>0</v>
      </c>
      <c r="BA32" s="66">
        <f t="shared" si="7"/>
        <v>300</v>
      </c>
      <c r="BB32" s="36"/>
    </row>
    <row r="33" spans="25:54" ht="13.5" thickBot="1" x14ac:dyDescent="0.25">
      <c r="Y33" s="35"/>
      <c r="Z33" s="84"/>
      <c r="AF33" s="34"/>
      <c r="AG33" s="35">
        <v>1</v>
      </c>
      <c r="AH33" s="35">
        <f>4*2.54</f>
        <v>10.16</v>
      </c>
      <c r="AI33" s="87">
        <f>(AH33+((AG33-1)*2*0.48))*PI()</f>
        <v>31.918581360472299</v>
      </c>
      <c r="AJ33" s="88">
        <f t="shared" ref="AJ33:AJ42" si="8">PI()*AH33*AG33</f>
        <v>31.918581360472299</v>
      </c>
      <c r="AK33" s="89">
        <f>1-(+AJ33/AI33)</f>
        <v>0</v>
      </c>
      <c r="AL33" s="36"/>
      <c r="AN33" s="45"/>
      <c r="AO33" s="46"/>
      <c r="AP33" s="46"/>
      <c r="AQ33" s="46"/>
      <c r="AR33" s="46"/>
      <c r="AS33" s="46"/>
      <c r="AT33" s="48"/>
      <c r="AV33" s="34"/>
      <c r="AW33" s="69">
        <v>205</v>
      </c>
      <c r="AX33" s="70">
        <f t="shared" si="5"/>
        <v>0.17</v>
      </c>
      <c r="AY33" s="70">
        <f t="shared" si="6"/>
        <v>0.17</v>
      </c>
      <c r="AZ33" s="71">
        <f t="shared" si="4"/>
        <v>0</v>
      </c>
      <c r="BA33" s="72">
        <f t="shared" si="7"/>
        <v>349.99999999999977</v>
      </c>
      <c r="BB33" s="36"/>
    </row>
    <row r="34" spans="25:54" ht="13.5" thickBot="1" x14ac:dyDescent="0.25">
      <c r="Y34" s="35"/>
      <c r="Z34" s="84"/>
      <c r="AA34" s="90"/>
      <c r="AB34" s="90"/>
      <c r="AC34" s="90"/>
      <c r="AF34" s="34"/>
      <c r="AG34" s="35">
        <v>2</v>
      </c>
      <c r="AH34" s="35">
        <f t="shared" ref="AH34:AH42" si="9">4*2.54</f>
        <v>10.16</v>
      </c>
      <c r="AI34" s="87">
        <f>((AH33+((AG33-1)*2*0.48))*PI())+( (AH34+((AG34-1)*2*0.48))*PI() )</f>
        <v>66.853091668390803</v>
      </c>
      <c r="AJ34" s="88">
        <f t="shared" si="8"/>
        <v>63.837162720944598</v>
      </c>
      <c r="AK34" s="89">
        <f t="shared" ref="AK34:AK42" si="10">1-(+AJ34/AI34)</f>
        <v>4.5112781954887327E-2</v>
      </c>
      <c r="AL34" s="36"/>
      <c r="AV34" s="34"/>
      <c r="BA34" s="73">
        <f>AVERAGE(BA24:BA33)</f>
        <v>370</v>
      </c>
      <c r="BB34" s="36"/>
    </row>
    <row r="35" spans="25:54" x14ac:dyDescent="0.2">
      <c r="Y35" s="35"/>
      <c r="Z35" s="84"/>
      <c r="AF35" s="34"/>
      <c r="AG35" s="35">
        <v>3</v>
      </c>
      <c r="AH35" s="35">
        <f t="shared" si="9"/>
        <v>10.16</v>
      </c>
      <c r="AI35" s="87">
        <f>( ((AH33+((AG33-1)*2*0.48))*PI())+( (AH34+((AG34-1)*2*0.48))*PI() ) )+( (AH35+((AG35-1)*2*0.48))*PI() )</f>
        <v>104.8035309237555</v>
      </c>
      <c r="AJ35" s="88">
        <f t="shared" si="8"/>
        <v>95.755744081416893</v>
      </c>
      <c r="AK35" s="89">
        <f t="shared" si="10"/>
        <v>8.633093525179858E-2</v>
      </c>
      <c r="AL35" s="36"/>
      <c r="AV35" s="34"/>
      <c r="AW35" s="35"/>
      <c r="AX35" s="35"/>
      <c r="AY35" s="35"/>
      <c r="AZ35" s="35"/>
      <c r="BA35" s="35"/>
      <c r="BB35" s="36"/>
    </row>
    <row r="36" spans="25:54" x14ac:dyDescent="0.2">
      <c r="Y36" s="35"/>
      <c r="Z36" s="84"/>
      <c r="AF36" s="34"/>
      <c r="AG36" s="35">
        <v>4</v>
      </c>
      <c r="AH36" s="35">
        <f t="shared" si="9"/>
        <v>10.16</v>
      </c>
      <c r="AI36" s="87">
        <f t="shared" ref="AI36:AI42" si="11">+AI35+( (AH36+((AG36-1)*2*0.48))*PI() )</f>
        <v>145.7698991265664</v>
      </c>
      <c r="AJ36" s="88">
        <f t="shared" si="8"/>
        <v>127.6743254418892</v>
      </c>
      <c r="AK36" s="89">
        <f t="shared" si="10"/>
        <v>0.12413793103448278</v>
      </c>
      <c r="AL36" s="36"/>
      <c r="AV36" s="34"/>
      <c r="AW36" s="35"/>
      <c r="AX36" s="35"/>
      <c r="AY36" s="35"/>
      <c r="AZ36" s="35"/>
      <c r="BA36" s="35"/>
      <c r="BB36" s="36"/>
    </row>
    <row r="37" spans="25:54" x14ac:dyDescent="0.2">
      <c r="Y37" s="35"/>
      <c r="Z37" s="84"/>
      <c r="AF37" s="34"/>
      <c r="AG37" s="35">
        <v>5</v>
      </c>
      <c r="AH37" s="35">
        <f t="shared" si="9"/>
        <v>10.16</v>
      </c>
      <c r="AI37" s="87">
        <f t="shared" si="11"/>
        <v>189.7521962768235</v>
      </c>
      <c r="AJ37" s="88">
        <f t="shared" si="8"/>
        <v>159.59290680236148</v>
      </c>
      <c r="AK37" s="89">
        <f t="shared" si="10"/>
        <v>0.15894039735099341</v>
      </c>
      <c r="AL37" s="36"/>
      <c r="AV37" s="34"/>
      <c r="AW37" s="35"/>
      <c r="AX37" s="35"/>
      <c r="AY37" s="35"/>
      <c r="AZ37" s="35"/>
      <c r="BA37" s="35"/>
      <c r="BB37" s="36"/>
    </row>
    <row r="38" spans="25:54" x14ac:dyDescent="0.2">
      <c r="Y38" s="35"/>
      <c r="Z38" s="84"/>
      <c r="AF38" s="34"/>
      <c r="AG38" s="35">
        <v>6</v>
      </c>
      <c r="AH38" s="35">
        <f t="shared" si="9"/>
        <v>10.16</v>
      </c>
      <c r="AI38" s="87">
        <f t="shared" si="11"/>
        <v>236.75042237452681</v>
      </c>
      <c r="AJ38" s="88">
        <f t="shared" si="8"/>
        <v>191.51148816283379</v>
      </c>
      <c r="AK38" s="89">
        <f t="shared" si="10"/>
        <v>0.19108280254777066</v>
      </c>
      <c r="AL38" s="36"/>
      <c r="AV38" s="34"/>
      <c r="AW38" s="260" t="s">
        <v>128</v>
      </c>
      <c r="AX38" s="35"/>
      <c r="AY38" s="35"/>
      <c r="AZ38" s="35"/>
      <c r="BA38" s="35"/>
      <c r="BB38" s="36"/>
    </row>
    <row r="39" spans="25:54" x14ac:dyDescent="0.2">
      <c r="Y39" s="35"/>
      <c r="Z39" s="84"/>
      <c r="AF39" s="34"/>
      <c r="AG39" s="35">
        <v>7</v>
      </c>
      <c r="AH39" s="35">
        <f t="shared" si="9"/>
        <v>10.16</v>
      </c>
      <c r="AI39" s="87">
        <f t="shared" si="11"/>
        <v>286.7645774196763</v>
      </c>
      <c r="AJ39" s="88">
        <f t="shared" si="8"/>
        <v>223.43006952330609</v>
      </c>
      <c r="AK39" s="89">
        <f t="shared" si="10"/>
        <v>0.22085889570552142</v>
      </c>
      <c r="AL39" s="36"/>
      <c r="AR39" s="1"/>
      <c r="AS39" s="1"/>
      <c r="AT39" s="1"/>
      <c r="AV39" s="34"/>
      <c r="AW39" s="260"/>
      <c r="AX39" s="91" t="s">
        <v>118</v>
      </c>
      <c r="AY39" s="251" t="s">
        <v>119</v>
      </c>
      <c r="AZ39" s="251"/>
      <c r="BA39" s="91" t="s">
        <v>120</v>
      </c>
      <c r="BB39" s="36"/>
    </row>
    <row r="40" spans="25:54" x14ac:dyDescent="0.2">
      <c r="Y40" s="35"/>
      <c r="Z40" s="84"/>
      <c r="AF40" s="34"/>
      <c r="AG40" s="35">
        <v>8</v>
      </c>
      <c r="AH40" s="35">
        <f t="shared" si="9"/>
        <v>10.16</v>
      </c>
      <c r="AI40" s="87">
        <f t="shared" si="11"/>
        <v>339.79466141227203</v>
      </c>
      <c r="AJ40" s="88">
        <f t="shared" si="8"/>
        <v>255.34865088377839</v>
      </c>
      <c r="AK40" s="89">
        <f t="shared" si="10"/>
        <v>0.24852071005917165</v>
      </c>
      <c r="AL40" s="36"/>
      <c r="AR40" s="1"/>
      <c r="AS40" s="1"/>
      <c r="AT40" s="1"/>
      <c r="AV40" s="34"/>
      <c r="AW40" s="2" t="s">
        <v>117</v>
      </c>
      <c r="BB40" s="36"/>
    </row>
    <row r="41" spans="25:54" x14ac:dyDescent="0.2">
      <c r="Y41" s="35"/>
      <c r="Z41" s="84"/>
      <c r="AF41" s="34"/>
      <c r="AG41" s="35">
        <v>9</v>
      </c>
      <c r="AH41" s="35">
        <f t="shared" si="9"/>
        <v>10.16</v>
      </c>
      <c r="AI41" s="87">
        <f t="shared" si="11"/>
        <v>395.84067435231395</v>
      </c>
      <c r="AJ41" s="88">
        <f t="shared" si="8"/>
        <v>287.26723224425069</v>
      </c>
      <c r="AK41" s="89">
        <f t="shared" si="10"/>
        <v>0.27428571428571435</v>
      </c>
      <c r="AL41" s="36"/>
      <c r="AR41" s="1"/>
      <c r="AS41" s="1"/>
      <c r="AT41" s="1"/>
      <c r="AV41" s="34"/>
      <c r="AW41" s="35"/>
      <c r="BB41" s="36"/>
    </row>
    <row r="42" spans="25:54" ht="13.5" thickBot="1" x14ac:dyDescent="0.25">
      <c r="Y42" s="35"/>
      <c r="Z42" s="84"/>
      <c r="AF42" s="34"/>
      <c r="AG42" s="35">
        <v>10</v>
      </c>
      <c r="AH42" s="35">
        <f t="shared" si="9"/>
        <v>10.16</v>
      </c>
      <c r="AI42" s="87">
        <f t="shared" si="11"/>
        <v>454.90261623980206</v>
      </c>
      <c r="AJ42" s="88">
        <f t="shared" si="8"/>
        <v>319.18581360472297</v>
      </c>
      <c r="AK42" s="89">
        <f t="shared" si="10"/>
        <v>0.2983425414364641</v>
      </c>
      <c r="AL42" s="36"/>
      <c r="AR42" s="1"/>
      <c r="AS42" s="1"/>
      <c r="AT42" s="1"/>
      <c r="AV42" s="34"/>
      <c r="AW42" s="37"/>
      <c r="AX42" s="2" t="s">
        <v>129</v>
      </c>
      <c r="AY42" s="2" t="s">
        <v>129</v>
      </c>
      <c r="AZ42" s="2" t="s">
        <v>130</v>
      </c>
      <c r="BA42" s="92" t="s">
        <v>130</v>
      </c>
      <c r="BB42" s="36"/>
    </row>
    <row r="43" spans="25:54" x14ac:dyDescent="0.2">
      <c r="Y43" s="35"/>
      <c r="Z43" s="84"/>
      <c r="AF43" s="34"/>
      <c r="AG43" s="35"/>
      <c r="AH43" s="35"/>
      <c r="AI43" s="86"/>
      <c r="AJ43" s="35"/>
      <c r="AK43" s="86"/>
      <c r="AL43" s="36"/>
      <c r="AR43" s="1"/>
      <c r="AS43" s="1"/>
      <c r="AT43" s="1"/>
      <c r="AV43" s="34"/>
      <c r="AW43" s="93">
        <v>100</v>
      </c>
      <c r="AX43" s="95">
        <v>7.0999999999999994E-2</v>
      </c>
      <c r="AY43" s="95">
        <v>7.1999999999999995E-2</v>
      </c>
      <c r="AZ43" s="95"/>
      <c r="BA43" s="96"/>
      <c r="BB43" s="36"/>
    </row>
    <row r="44" spans="25:54" ht="13.5" thickBot="1" x14ac:dyDescent="0.25">
      <c r="Y44" s="35"/>
      <c r="Z44" s="84"/>
      <c r="AF44" s="45"/>
      <c r="AG44" s="46"/>
      <c r="AH44" s="46"/>
      <c r="AI44" s="46"/>
      <c r="AJ44" s="46"/>
      <c r="AK44" s="46"/>
      <c r="AL44" s="48"/>
      <c r="AR44" s="1"/>
      <c r="AS44" s="1"/>
      <c r="AT44" s="1"/>
      <c r="AV44" s="34"/>
      <c r="AW44" s="63">
        <v>110</v>
      </c>
      <c r="AX44" s="97">
        <v>8.1000000000000003E-2</v>
      </c>
      <c r="AY44" s="97">
        <v>8.2000000000000003E-2</v>
      </c>
      <c r="AZ44" s="97"/>
      <c r="BA44" s="98"/>
      <c r="BB44" s="36"/>
    </row>
    <row r="45" spans="25:54" x14ac:dyDescent="0.2">
      <c r="Y45" s="35"/>
      <c r="Z45" s="84"/>
      <c r="AR45" s="1"/>
      <c r="AS45" s="1"/>
      <c r="AT45" s="1"/>
      <c r="AV45" s="34"/>
      <c r="AW45" s="63">
        <v>120</v>
      </c>
      <c r="AX45" s="97">
        <v>9.0999999999999998E-2</v>
      </c>
      <c r="AY45" s="97">
        <v>9.1999999999999998E-2</v>
      </c>
      <c r="AZ45" s="97"/>
      <c r="BA45" s="98"/>
      <c r="BB45" s="36"/>
    </row>
    <row r="46" spans="25:54" x14ac:dyDescent="0.2">
      <c r="AV46" s="34"/>
      <c r="AW46" s="63">
        <v>130</v>
      </c>
      <c r="AX46" s="97">
        <v>0.10100000000000001</v>
      </c>
      <c r="AY46" s="97">
        <v>0.10199999999999999</v>
      </c>
      <c r="AZ46" s="97">
        <v>9.0999999999999998E-2</v>
      </c>
      <c r="BA46" s="98"/>
      <c r="BB46" s="36"/>
    </row>
    <row r="47" spans="25:54" x14ac:dyDescent="0.2">
      <c r="AV47" s="34"/>
      <c r="AW47" s="63">
        <v>140</v>
      </c>
      <c r="AX47" s="97">
        <v>0.111</v>
      </c>
      <c r="AY47" s="97">
        <v>0.112</v>
      </c>
      <c r="AZ47" s="97">
        <v>0.10100000000000001</v>
      </c>
      <c r="BA47" s="98">
        <v>0.1</v>
      </c>
      <c r="BB47" s="36"/>
    </row>
    <row r="48" spans="25:54" x14ac:dyDescent="0.2">
      <c r="AV48" s="34"/>
      <c r="AW48" s="63">
        <v>150</v>
      </c>
      <c r="AX48" s="97">
        <v>0.121</v>
      </c>
      <c r="AY48" s="97">
        <v>0.122</v>
      </c>
      <c r="AZ48" s="97">
        <v>0.111</v>
      </c>
      <c r="BA48" s="98">
        <v>0.11</v>
      </c>
      <c r="BB48" s="36"/>
    </row>
    <row r="49" spans="48:54" x14ac:dyDescent="0.2">
      <c r="AV49" s="34"/>
      <c r="AW49" s="63">
        <v>160</v>
      </c>
      <c r="AX49" s="97"/>
      <c r="AY49" s="97"/>
      <c r="AZ49" s="97"/>
      <c r="BA49" s="98">
        <v>0.12</v>
      </c>
      <c r="BB49" s="36"/>
    </row>
    <row r="50" spans="48:54" x14ac:dyDescent="0.2">
      <c r="AV50" s="34"/>
      <c r="AW50" s="63">
        <v>165</v>
      </c>
      <c r="AX50" s="97"/>
      <c r="AY50" s="97"/>
      <c r="AZ50" s="97"/>
      <c r="BA50" s="98">
        <v>0.13</v>
      </c>
      <c r="BB50" s="36"/>
    </row>
    <row r="51" spans="48:54" x14ac:dyDescent="0.2">
      <c r="AV51" s="34"/>
      <c r="AW51" s="63">
        <v>180</v>
      </c>
      <c r="AX51" s="97"/>
      <c r="AY51" s="97"/>
      <c r="AZ51" s="97"/>
      <c r="BA51" s="98">
        <v>0.14000000000000001</v>
      </c>
      <c r="BB51" s="36"/>
    </row>
    <row r="52" spans="48:54" x14ac:dyDescent="0.2">
      <c r="AV52" s="34"/>
      <c r="AW52" s="63">
        <v>185</v>
      </c>
      <c r="AX52" s="97"/>
      <c r="AY52" s="97"/>
      <c r="AZ52" s="97"/>
      <c r="BA52" s="98">
        <v>0.15</v>
      </c>
      <c r="BB52" s="36"/>
    </row>
    <row r="53" spans="48:54" x14ac:dyDescent="0.2">
      <c r="AV53" s="34"/>
      <c r="AW53" s="63">
        <v>190</v>
      </c>
      <c r="AX53" s="97"/>
      <c r="AY53" s="97"/>
      <c r="AZ53" s="97"/>
      <c r="BA53" s="98">
        <v>0.16</v>
      </c>
      <c r="BB53" s="36"/>
    </row>
    <row r="54" spans="48:54" ht="13.5" thickBot="1" x14ac:dyDescent="0.25">
      <c r="AV54" s="34"/>
      <c r="AW54" s="69">
        <v>205</v>
      </c>
      <c r="AX54" s="99"/>
      <c r="AY54" s="99"/>
      <c r="AZ54" s="99"/>
      <c r="BA54" s="100">
        <v>0.17</v>
      </c>
      <c r="BB54" s="36"/>
    </row>
    <row r="55" spans="48:54" ht="13.5" thickBot="1" x14ac:dyDescent="0.25">
      <c r="AV55" s="45"/>
      <c r="AW55" s="46"/>
      <c r="AX55" s="46"/>
      <c r="AY55" s="46"/>
      <c r="AZ55" s="46"/>
      <c r="BA55" s="46"/>
      <c r="BB55" s="48"/>
    </row>
  </sheetData>
  <sheetProtection selectLockedCells="1"/>
  <sortState ref="U6:U24">
    <sortCondition ref="U6"/>
  </sortState>
  <mergeCells count="25">
    <mergeCell ref="AV4:BB4"/>
    <mergeCell ref="AW5:BA7"/>
    <mergeCell ref="AY39:AZ39"/>
    <mergeCell ref="AP32:AR32"/>
    <mergeCell ref="AO19:AP19"/>
    <mergeCell ref="AO24:AP24"/>
    <mergeCell ref="AO25:AP25"/>
    <mergeCell ref="AO26:AP26"/>
    <mergeCell ref="AO28:AS30"/>
    <mergeCell ref="AN4:AT4"/>
    <mergeCell ref="AO5:AS7"/>
    <mergeCell ref="AO17:AP17"/>
    <mergeCell ref="AO18:AP18"/>
    <mergeCell ref="AW9:AY9"/>
    <mergeCell ref="AW21:AY21"/>
    <mergeCell ref="AW38:AW39"/>
    <mergeCell ref="AG29:AK29"/>
    <mergeCell ref="AF4:AL4"/>
    <mergeCell ref="X4:AD4"/>
    <mergeCell ref="AG5:AK7"/>
    <mergeCell ref="B4:E4"/>
    <mergeCell ref="G4:I4"/>
    <mergeCell ref="K4:M4"/>
    <mergeCell ref="O4:R4"/>
    <mergeCell ref="T4:V4"/>
  </mergeCells>
  <pageMargins left="0.70866141732283472" right="0.70866141732283472" top="0.74803149606299213" bottom="0.74803149606299213" header="0.31496062992125984" footer="0.31496062992125984"/>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11</vt:i4>
      </vt:variant>
    </vt:vector>
  </HeadingPairs>
  <TitlesOfParts>
    <vt:vector size="15" baseType="lpstr">
      <vt:lpstr>Informe - Planilla</vt:lpstr>
      <vt:lpstr>Informe preliminar</vt:lpstr>
      <vt:lpstr>observaciones</vt:lpstr>
      <vt:lpstr>Referencias</vt:lpstr>
      <vt:lpstr>ActividadPasante</vt:lpstr>
      <vt:lpstr>ElementoBase</vt:lpstr>
      <vt:lpstr>FormasGeom</vt:lpstr>
      <vt:lpstr>MaterialBase</vt:lpstr>
      <vt:lpstr>PasantesComunes</vt:lpstr>
      <vt:lpstr>'Informe - Planilla'!Print_Area</vt:lpstr>
      <vt:lpstr>'Informe preliminar'!Print_Area</vt:lpstr>
      <vt:lpstr>observaciones!Print_Area</vt:lpstr>
      <vt:lpstr>Referencias!Print_Area</vt:lpstr>
      <vt:lpstr>'Informe - Planilla'!Print_Titles</vt:lpstr>
      <vt:lpstr>ProductosHilti</vt:lpstr>
    </vt:vector>
  </TitlesOfParts>
  <Company>Hilti</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Camilo Torres</dc:creator>
  <cp:lastModifiedBy>Juan Camilo Torres</cp:lastModifiedBy>
  <cp:lastPrinted>2015-09-23T17:45:29Z</cp:lastPrinted>
  <dcterms:created xsi:type="dcterms:W3CDTF">2010-05-31T11:18:45Z</dcterms:created>
  <dcterms:modified xsi:type="dcterms:W3CDTF">2016-03-03T15:33:25Z</dcterms:modified>
</cp:coreProperties>
</file>