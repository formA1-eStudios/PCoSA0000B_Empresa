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autoCompressPictures="0"/>
  <mc:AlternateContent xmlns:mc="http://schemas.openxmlformats.org/markup-compatibility/2006">
    <mc:Choice Requires="x15">
      <x15ac:absPath xmlns:x15ac="http://schemas.microsoft.com/office/spreadsheetml/2010/11/ac" url="C:\Users\hilti01\Documents\Hilti Docs\Documentos de soporte\Herramientas\Apps\"/>
    </mc:Choice>
  </mc:AlternateContent>
  <bookViews>
    <workbookView xWindow="0" yWindow="0" windowWidth="3690" windowHeight="6960"/>
  </bookViews>
  <sheets>
    <sheet name="Informe - Planilla" sheetId="4" r:id="rId1"/>
    <sheet name="Informe preliminar" sheetId="7" r:id="rId2"/>
    <sheet name="Referencias" sheetId="6" r:id="rId3"/>
  </sheets>
  <definedNames>
    <definedName name="Abertura_perforación">Referencias!$K$6:$K$15</definedName>
    <definedName name="Barrera_cortafuego">Referencias!$G$6:$G$13</definedName>
    <definedName name="Elementos_pasantes">Referencias!$O$6:$O$18</definedName>
    <definedName name="List_Items">Referencias!$C$6:$C$10</definedName>
    <definedName name="_xlnm.Print_Area" localSheetId="0">'Informe - Planilla'!$A:$I</definedName>
    <definedName name="_xlnm.Print_Area" localSheetId="1">'Informe preliminar'!$A$1:$K$50</definedName>
    <definedName name="_xlnm.Print_Area" localSheetId="2">Referencias!$A$1</definedName>
    <definedName name="_xlnm.Print_Titles" localSheetId="0">'Informe - Planilla'!$10:$10</definedName>
    <definedName name="ProductTable">Referencias!$S$7:$X$31</definedName>
    <definedName name="Sello_cortafuego">Referencias!$T$7:$T$24</definedName>
  </definedNames>
  <calcPr calcId="152511" iterate="1"/>
</workbook>
</file>

<file path=xl/calcChain.xml><?xml version="1.0" encoding="utf-8"?>
<calcChain xmlns="http://schemas.openxmlformats.org/spreadsheetml/2006/main">
  <c r="L11" i="4" l="1"/>
  <c r="K11" i="4"/>
  <c r="J11" i="4"/>
  <c r="J12" i="4"/>
  <c r="J13" i="4"/>
  <c r="J14" i="4"/>
  <c r="J15" i="4"/>
  <c r="J16" i="4"/>
  <c r="J17" i="4"/>
  <c r="J18" i="4"/>
  <c r="J19" i="4"/>
  <c r="J20" i="4"/>
  <c r="J21" i="4"/>
  <c r="J22" i="4"/>
  <c r="J23" i="4"/>
  <c r="J24" i="4"/>
  <c r="J25" i="4"/>
  <c r="J26" i="4"/>
  <c r="J27" i="4"/>
  <c r="J28" i="4"/>
  <c r="J29" i="4"/>
  <c r="J30" i="4"/>
  <c r="J31" i="4"/>
  <c r="V7" i="6" l="1"/>
  <c r="A6" i="7"/>
  <c r="I6" i="7"/>
  <c r="E4" i="7"/>
  <c r="A4" i="7"/>
  <c r="A3" i="7"/>
  <c r="E3" i="7"/>
  <c r="A16" i="4" l="1"/>
  <c r="K16" i="4" s="1"/>
  <c r="A15" i="4"/>
  <c r="A14" i="4"/>
  <c r="K14" i="4" s="1"/>
  <c r="A13" i="4"/>
  <c r="K12" i="4"/>
  <c r="K13" i="4"/>
  <c r="K15" i="4"/>
  <c r="K17" i="4"/>
  <c r="K18" i="4"/>
  <c r="K19" i="4"/>
  <c r="K20" i="4"/>
  <c r="K21" i="4"/>
  <c r="K22" i="4"/>
  <c r="K23" i="4"/>
  <c r="K24" i="4"/>
  <c r="K25" i="4"/>
  <c r="K26" i="4"/>
  <c r="K27" i="4"/>
  <c r="K28" i="4"/>
  <c r="K29" i="4"/>
  <c r="K30" i="4"/>
  <c r="K31" i="4"/>
  <c r="O11" i="4"/>
  <c r="O12" i="4"/>
  <c r="O13" i="4"/>
  <c r="O14" i="4"/>
  <c r="O17" i="4"/>
  <c r="O18" i="4"/>
  <c r="O19" i="4"/>
  <c r="O20" i="4"/>
  <c r="O21" i="4"/>
  <c r="O22" i="4"/>
  <c r="O23" i="4"/>
  <c r="O24" i="4"/>
  <c r="O25" i="4"/>
  <c r="O26" i="4"/>
  <c r="O27" i="4"/>
  <c r="O28" i="4"/>
  <c r="O29" i="4"/>
  <c r="O30" i="4"/>
  <c r="O31" i="4"/>
  <c r="M11" i="4"/>
  <c r="M12" i="4"/>
  <c r="M13" i="4"/>
  <c r="M14" i="4"/>
  <c r="M17" i="4"/>
  <c r="M18" i="4"/>
  <c r="M19" i="4"/>
  <c r="M20" i="4"/>
  <c r="M21" i="4"/>
  <c r="M22" i="4"/>
  <c r="M23" i="4"/>
  <c r="M24" i="4"/>
  <c r="M25" i="4"/>
  <c r="M26" i="4"/>
  <c r="M27" i="4"/>
  <c r="M28" i="4"/>
  <c r="M29" i="4"/>
  <c r="M30" i="4"/>
  <c r="M31" i="4"/>
  <c r="L12" i="4"/>
  <c r="L13" i="4"/>
  <c r="L14" i="4"/>
  <c r="L16" i="4"/>
  <c r="M16" i="4" s="1"/>
  <c r="O16" i="4" s="1"/>
  <c r="L17" i="4"/>
  <c r="L18" i="4"/>
  <c r="L19" i="4"/>
  <c r="L20" i="4"/>
  <c r="L21" i="4"/>
  <c r="L22" i="4"/>
  <c r="L23" i="4"/>
  <c r="L24" i="4"/>
  <c r="L25" i="4"/>
  <c r="L26" i="4"/>
  <c r="L27" i="4"/>
  <c r="L28" i="4"/>
  <c r="L29" i="4"/>
  <c r="L30" i="4"/>
  <c r="L31" i="4"/>
  <c r="L15" i="4" l="1"/>
  <c r="M15" i="4" s="1"/>
  <c r="O15" i="4" s="1"/>
  <c r="C21" i="7" l="1"/>
  <c r="G21" i="7" s="1"/>
  <c r="D21" i="7"/>
  <c r="F21" i="7"/>
  <c r="H21" i="7"/>
  <c r="C22" i="7"/>
  <c r="G22" i="7" s="1"/>
  <c r="D22" i="7"/>
  <c r="F22" i="7"/>
  <c r="H22" i="7"/>
  <c r="C23" i="7"/>
  <c r="G23" i="7" s="1"/>
  <c r="D23" i="7"/>
  <c r="F23" i="7"/>
  <c r="H23" i="7"/>
  <c r="C24" i="7"/>
  <c r="G24" i="7" s="1"/>
  <c r="D24" i="7"/>
  <c r="F24" i="7"/>
  <c r="H24" i="7"/>
  <c r="C25" i="7"/>
  <c r="G25" i="7" s="1"/>
  <c r="D25" i="7"/>
  <c r="F25" i="7"/>
  <c r="H25" i="7"/>
  <c r="C26" i="7"/>
  <c r="G26" i="7" s="1"/>
  <c r="D26" i="7"/>
  <c r="F26" i="7"/>
  <c r="H26" i="7"/>
  <c r="C27" i="7"/>
  <c r="G27" i="7" s="1"/>
  <c r="D27" i="7"/>
  <c r="F27" i="7"/>
  <c r="H27" i="7"/>
  <c r="C28" i="7"/>
  <c r="G28" i="7" s="1"/>
  <c r="D28" i="7"/>
  <c r="F28" i="7"/>
  <c r="H28" i="7"/>
  <c r="C29" i="7"/>
  <c r="G29" i="7" s="1"/>
  <c r="D29" i="7"/>
  <c r="F29" i="7"/>
  <c r="H29" i="7"/>
  <c r="C30" i="7"/>
  <c r="G30" i="7" s="1"/>
  <c r="D30" i="7"/>
  <c r="F30" i="7"/>
  <c r="H30" i="7"/>
  <c r="C31" i="7"/>
  <c r="G31" i="7" s="1"/>
  <c r="D31" i="7"/>
  <c r="F31" i="7"/>
  <c r="H31" i="7"/>
  <c r="C32" i="7"/>
  <c r="G32" i="7" s="1"/>
  <c r="D32" i="7"/>
  <c r="F32" i="7"/>
  <c r="H32" i="7"/>
  <c r="C33" i="7"/>
  <c r="G33" i="7" s="1"/>
  <c r="D33" i="7"/>
  <c r="F33" i="7"/>
  <c r="H33" i="7"/>
  <c r="C34" i="7"/>
  <c r="G34" i="7" s="1"/>
  <c r="D34" i="7"/>
  <c r="F34" i="7"/>
  <c r="H34" i="7"/>
  <c r="H20" i="7"/>
  <c r="D20" i="7"/>
  <c r="C20" i="7"/>
  <c r="G20" i="7" s="1"/>
  <c r="V13" i="6" l="1"/>
  <c r="F20" i="7"/>
  <c r="E20" i="7" l="1"/>
  <c r="D47" i="7"/>
  <c r="I3" i="4" l="1"/>
  <c r="I3" i="7" s="1"/>
  <c r="AK12" i="6" l="1"/>
  <c r="AS25" i="6"/>
  <c r="AT25" i="6" s="1"/>
  <c r="AS26" i="6"/>
  <c r="AT26" i="6" s="1"/>
  <c r="AS27" i="6"/>
  <c r="AT27" i="6" s="1"/>
  <c r="AS28" i="6"/>
  <c r="AT28" i="6" s="1"/>
  <c r="AS29" i="6"/>
  <c r="AT29" i="6" s="1"/>
  <c r="AS30" i="6"/>
  <c r="AT30" i="6" s="1"/>
  <c r="AS31" i="6"/>
  <c r="AT31" i="6" s="1"/>
  <c r="AS32" i="6"/>
  <c r="AT32" i="6" s="1"/>
  <c r="AS33" i="6"/>
  <c r="AT33" i="6" s="1"/>
  <c r="AS13" i="6"/>
  <c r="AT13" i="6" s="1"/>
  <c r="AS14" i="6"/>
  <c r="AT14" i="6" s="1"/>
  <c r="AS15" i="6"/>
  <c r="AT15" i="6" s="1"/>
  <c r="AS16" i="6"/>
  <c r="AT16" i="6" s="1"/>
  <c r="AS17" i="6"/>
  <c r="AT17" i="6" s="1"/>
  <c r="AS12" i="6"/>
  <c r="AT12" i="6" s="1"/>
  <c r="AU33" i="6"/>
  <c r="AU32" i="6"/>
  <c r="AU31" i="6"/>
  <c r="AU30" i="6"/>
  <c r="AU29" i="6"/>
  <c r="AU28" i="6"/>
  <c r="AU27" i="6"/>
  <c r="AU26" i="6"/>
  <c r="AU25" i="6"/>
  <c r="AU24" i="6"/>
  <c r="AU13" i="6"/>
  <c r="AU14" i="6"/>
  <c r="AU15" i="6"/>
  <c r="AU16" i="6"/>
  <c r="AU17" i="6"/>
  <c r="AU18" i="6"/>
  <c r="AU12" i="6"/>
  <c r="AC34" i="6"/>
  <c r="AC35" i="6"/>
  <c r="AE35" i="6" s="1"/>
  <c r="AC36" i="6"/>
  <c r="AE36" i="6" s="1"/>
  <c r="AC37" i="6"/>
  <c r="AE37" i="6" s="1"/>
  <c r="AC38" i="6"/>
  <c r="AE38" i="6" s="1"/>
  <c r="AC39" i="6"/>
  <c r="AE39" i="6" s="1"/>
  <c r="AC40" i="6"/>
  <c r="AE40" i="6" s="1"/>
  <c r="AC41" i="6"/>
  <c r="AE41" i="6" s="1"/>
  <c r="AC42" i="6"/>
  <c r="AE42" i="6" s="1"/>
  <c r="AC33" i="6"/>
  <c r="AD33" i="6" s="1"/>
  <c r="AD34" i="6" l="1"/>
  <c r="AV12" i="6"/>
  <c r="AV31" i="6"/>
  <c r="AV16" i="6"/>
  <c r="AV25" i="6"/>
  <c r="AV14" i="6"/>
  <c r="AE33" i="6"/>
  <c r="AF33" i="6" s="1"/>
  <c r="AV17" i="6"/>
  <c r="AV13" i="6"/>
  <c r="AV27" i="6"/>
  <c r="AD35" i="6"/>
  <c r="AD36" i="6" s="1"/>
  <c r="AV28" i="6"/>
  <c r="AE34" i="6"/>
  <c r="AF34" i="6" s="1"/>
  <c r="AV30" i="6"/>
  <c r="AV32" i="6"/>
  <c r="AV33" i="6"/>
  <c r="AV15" i="6"/>
  <c r="AV29" i="6"/>
  <c r="AK13" i="6"/>
  <c r="AJ24" i="6" s="1"/>
  <c r="AV26" i="6"/>
  <c r="AF35" i="6" l="1"/>
  <c r="AV19" i="6"/>
  <c r="AV34" i="6"/>
  <c r="AJ19" i="6"/>
  <c r="AJ25" i="6" s="1"/>
  <c r="AJ26" i="6" s="1"/>
  <c r="AK32" i="6" s="1"/>
  <c r="AF36" i="6"/>
  <c r="AD37" i="6"/>
  <c r="V14" i="6" l="1"/>
  <c r="AD38" i="6"/>
  <c r="AF37" i="6"/>
  <c r="AF38" i="6" l="1"/>
  <c r="AD39" i="6"/>
  <c r="AD40" i="6" l="1"/>
  <c r="AF39" i="6"/>
  <c r="AD41" i="6" l="1"/>
  <c r="AF40" i="6"/>
  <c r="AD42" i="6" l="1"/>
  <c r="AF42" i="6" s="1"/>
  <c r="AF41" i="6"/>
  <c r="I20" i="7" l="1"/>
  <c r="E21" i="7" l="1"/>
  <c r="I21" i="7" s="1"/>
  <c r="E22" i="7"/>
  <c r="I22" i="7" s="1"/>
  <c r="E23" i="7"/>
  <c r="I23" i="7" s="1"/>
  <c r="E24" i="7"/>
  <c r="I24" i="7" s="1"/>
  <c r="E25" i="7"/>
  <c r="I25" i="7" s="1"/>
  <c r="E26" i="7"/>
  <c r="I26" i="7" s="1"/>
  <c r="E27" i="7"/>
  <c r="I27" i="7" s="1"/>
  <c r="E28" i="7"/>
  <c r="I28" i="7" s="1"/>
  <c r="E29" i="7"/>
  <c r="I29" i="7" s="1"/>
  <c r="E30" i="7"/>
  <c r="I30" i="7" s="1"/>
  <c r="E31" i="7"/>
  <c r="I31" i="7" s="1"/>
  <c r="E32" i="7"/>
  <c r="I32" i="7" s="1"/>
  <c r="E33" i="7"/>
  <c r="I33" i="7" s="1"/>
  <c r="E34" i="7"/>
  <c r="I34" i="7" s="1"/>
  <c r="G35" i="7" l="1"/>
</calcChain>
</file>

<file path=xl/sharedStrings.xml><?xml version="1.0" encoding="utf-8"?>
<sst xmlns="http://schemas.openxmlformats.org/spreadsheetml/2006/main" count="268" uniqueCount="194">
  <si>
    <t>CODIGO</t>
  </si>
  <si>
    <t>Circular</t>
  </si>
  <si>
    <t>#</t>
  </si>
  <si>
    <t>COMENTARIOS</t>
  </si>
  <si>
    <t>Rectangular</t>
  </si>
  <si>
    <t>Irregular</t>
  </si>
  <si>
    <t>PASANTES COMUNES</t>
  </si>
  <si>
    <t>PRODUCTOS Hilti</t>
  </si>
  <si>
    <t>CP 620</t>
  </si>
  <si>
    <t>CP 618</t>
  </si>
  <si>
    <t>CFS BL</t>
  </si>
  <si>
    <t>CP 637</t>
  </si>
  <si>
    <t>CFS-SP WB</t>
  </si>
  <si>
    <t>CP 606</t>
  </si>
  <si>
    <t>CP 679 A</t>
  </si>
  <si>
    <t>CP 648E 1"</t>
  </si>
  <si>
    <t>CP 648E 1-¾"</t>
  </si>
  <si>
    <t>CP 643-110/4"</t>
  </si>
  <si>
    <t>CP 643-160/6"</t>
  </si>
  <si>
    <t xml:space="preserve"> </t>
  </si>
  <si>
    <t>capas</t>
  </si>
  <si>
    <t>D0</t>
  </si>
  <si>
    <t>RENDIMIENTOS DE CINTA FS</t>
  </si>
  <si>
    <t>error</t>
  </si>
  <si>
    <t>cm</t>
  </si>
  <si>
    <t>%</t>
  </si>
  <si>
    <t>El rendimiento de las cintas están caculadas con base en las siguientes expresiones:</t>
  </si>
  <si>
    <t xml:space="preserve">A1 = </t>
  </si>
  <si>
    <t xml:space="preserve">An = </t>
  </si>
  <si>
    <r>
      <rPr>
        <sz val="14"/>
        <color theme="1"/>
        <rFont val="Script MT Bold"/>
        <family val="4"/>
      </rPr>
      <t>n</t>
    </r>
    <r>
      <rPr>
        <sz val="10"/>
        <color theme="1"/>
        <rFont val="Script MT Bold"/>
        <family val="4"/>
      </rPr>
      <t xml:space="preserve"> – 1</t>
    </r>
  </si>
  <si>
    <t>Ejemplo de cálculo</t>
  </si>
  <si>
    <r>
      <t>S</t>
    </r>
    <r>
      <rPr>
        <i/>
        <sz val="8"/>
        <color theme="1"/>
        <rFont val="Arial"/>
        <family val="2"/>
      </rPr>
      <t>apx</t>
    </r>
  </si>
  <si>
    <r>
      <t>S</t>
    </r>
    <r>
      <rPr>
        <i/>
        <sz val="8"/>
        <color theme="1"/>
        <rFont val="Arial"/>
        <family val="2"/>
      </rPr>
      <t>opt</t>
    </r>
  </si>
  <si>
    <t>Barra moldeable</t>
  </si>
  <si>
    <t>Bloque (2x5x8in)</t>
  </si>
  <si>
    <t>Bulto (30 lb)</t>
  </si>
  <si>
    <t>RENDIMIENTOS DE MORTERO FS</t>
  </si>
  <si>
    <t>El rendimiento del mortero está caculado con base en las siguientes expresiones:</t>
  </si>
  <si>
    <t>Peso mortero</t>
  </si>
  <si>
    <t>Peso agua</t>
  </si>
  <si>
    <t>Relación:</t>
  </si>
  <si>
    <t>Peso total mezcla</t>
  </si>
  <si>
    <t>Determinación de densidad de mezcla</t>
  </si>
  <si>
    <t>Densidad mortero</t>
  </si>
  <si>
    <t>Densidad agua</t>
  </si>
  <si>
    <t>Densidad promedio</t>
  </si>
  <si>
    <t>Determinación del volumen colocado</t>
  </si>
  <si>
    <t>Densidad de mezcla</t>
  </si>
  <si>
    <t>Peso de mezcla</t>
  </si>
  <si>
    <t>Volumen de mezcla</t>
  </si>
  <si>
    <t>Según este resultado, 1 bulto de mortero, mezclado con agua en la relación indicada, tiene un volumen de:</t>
  </si>
  <si>
    <t>Caneca (20kg)</t>
  </si>
  <si>
    <t>APRUEBA:</t>
  </si>
  <si>
    <t xml:space="preserve"> REALIZADO POR:</t>
  </si>
  <si>
    <t>Volumen Colocado</t>
  </si>
  <si>
    <t>-</t>
  </si>
  <si>
    <t>Descripción</t>
  </si>
  <si>
    <t>Código</t>
  </si>
  <si>
    <t>Ducto circular</t>
  </si>
  <si>
    <t>Ducto rectangular</t>
  </si>
  <si>
    <t>mm</t>
  </si>
  <si>
    <t>m3/m2</t>
  </si>
  <si>
    <t>COLMENA</t>
  </si>
  <si>
    <t>ACESCO</t>
  </si>
  <si>
    <t>OSTRILLION</t>
  </si>
  <si>
    <t>Otro</t>
  </si>
  <si>
    <t>concreto</t>
  </si>
  <si>
    <t>seccion concreto</t>
  </si>
  <si>
    <t>espesor junta</t>
  </si>
  <si>
    <t>area de junta</t>
  </si>
  <si>
    <t>m2/m</t>
  </si>
  <si>
    <t>espesor de losa</t>
  </si>
  <si>
    <t>CONSUMO CONCRETO</t>
  </si>
  <si>
    <t>2"</t>
  </si>
  <si>
    <t>3"</t>
  </si>
  <si>
    <t>cm2/m</t>
  </si>
  <si>
    <t>Lámina colaborante de 2"</t>
  </si>
  <si>
    <t>Lámina colaborante de 3"</t>
  </si>
  <si>
    <t>ESTIMACIÓN DE AREA DE SELLO | JUNTAS STEELDECK</t>
  </si>
  <si>
    <t>Cable/Grupo de cables</t>
  </si>
  <si>
    <t>ASESOR COMERCIAL:</t>
  </si>
  <si>
    <t>Ninguno (Blank)</t>
  </si>
  <si>
    <t>Blindobarra</t>
  </si>
  <si>
    <t>Tubería metal</t>
  </si>
  <si>
    <t>Tubería no metal</t>
  </si>
  <si>
    <t>Bandeja PC</t>
  </si>
  <si>
    <t>Componente mecanico</t>
  </si>
  <si>
    <t>Tubería no metal aislada</t>
  </si>
  <si>
    <t>Tubería metal aislada</t>
  </si>
  <si>
    <t>REGISTRO GRÁFICO</t>
  </si>
  <si>
    <t>desp
%</t>
  </si>
  <si>
    <t>CANTIDAD
 NETA</t>
  </si>
  <si>
    <t>TIPO</t>
  </si>
  <si>
    <t>Para / To:</t>
  </si>
  <si>
    <t>De / From:</t>
  </si>
  <si>
    <t>Fecha /Date:</t>
  </si>
  <si>
    <t xml:space="preserve">Asunto / Subject: </t>
  </si>
  <si>
    <t>Memo:</t>
  </si>
  <si>
    <t>CLIENTE</t>
  </si>
  <si>
    <t>Nombre de remitente</t>
  </si>
  <si>
    <t>Descripción del proyecto; incluir nombre de la obra/proyecto.</t>
  </si>
  <si>
    <t>HES-FS-…</t>
  </si>
  <si>
    <t>Las siguientes cantidades resumen cuantitativamente la cantidad de protección que se requiere para el proyecto en términos de cuantos sellos cortafuego se han especificado para proteger cuantos elementos pasantes, en juntas y en sellos de fachadas y perimetrales.</t>
  </si>
  <si>
    <t>CFS-S SIL GG</t>
  </si>
  <si>
    <r>
      <t>1) Las perforaciones señaladas como</t>
    </r>
    <r>
      <rPr>
        <b/>
        <i/>
        <sz val="10"/>
        <color rgb="FFC00000"/>
        <rFont val="Arial"/>
        <family val="2"/>
      </rPr>
      <t xml:space="preserve"> irregulares</t>
    </r>
    <r>
      <rPr>
        <i/>
        <sz val="10"/>
        <color theme="1"/>
        <rFont val="Arial"/>
        <family val="2"/>
      </rPr>
      <t xml:space="preserve">, deben ser corregidas en obra para cumplir con las dimensiones recomendadas por el especificador e indicadas en los documentos de soporte correspondientes. Se deben emplear materiales (concreto, mampostería, drywall, etc) que garanticen la integridad del elemento original (muro o piso) y una resistencia al fuego y al humo igual o mayor a la de los diseños originales del elemento.
</t>
    </r>
  </si>
  <si>
    <t>(promedio ponderado en peso)</t>
  </si>
  <si>
    <t>a</t>
  </si>
  <si>
    <t>b</t>
  </si>
  <si>
    <t>FS-ONE Max</t>
  </si>
  <si>
    <t>RESULTADOS</t>
  </si>
  <si>
    <t>Este ejemplo se puede borrar y sobrescribir la información.</t>
  </si>
  <si>
    <t>OTRAS RECOMENDACIONES</t>
  </si>
  <si>
    <t>por ejemplo:
SP-001, pases
SJ-015, juntas
SF-35, fachada</t>
  </si>
  <si>
    <t xml:space="preserve"> - Para perforaciones con geometrías complejas, se puede aproximar con multiples perforaciones "parciales" que en conjunto sumen el area total de la perforacion. Cada una debe estar registrada en una fila.</t>
  </si>
  <si>
    <t xml:space="preserve"> - En la etapa de especificación al cliente se le debe compartir solamente el informe preliminar. Esta planilla detallada debe ser entregada al cliente UNICAMENTE despues de confirmada la compra.</t>
  </si>
  <si>
    <t xml:space="preserve"> - Es clave manejar el mismo código UNICO para cada sello.</t>
  </si>
  <si>
    <t xml:space="preserve"> - Cada vez que se llegue a la última fila de la tabla, si se necesitan nuevas filas, solo basta con ingresar el código y presionar ENTER las veces que sea necesario.</t>
  </si>
  <si>
    <t>Insertar foto del sello tomada durante la inspección en campo, el detalle tomado de planos (pantallazo) o el texto "N/D" para indicar que está no disponible.</t>
  </si>
  <si>
    <t>Nombre de destinatario</t>
  </si>
  <si>
    <t xml:space="preserve"> - Es muy importante NO INSERTAR/ELIMINAR FILAS. Siempre que se realiza esta operación se desconfigura por completo la hoja, asi que es mejor dejar filas en blanco para preveer ajustes futuros pero no insertar filas para corregir información.</t>
  </si>
  <si>
    <t>CFS-WB</t>
  </si>
  <si>
    <t>Cantidad</t>
  </si>
  <si>
    <t>Precio</t>
  </si>
  <si>
    <t>Rendimiento</t>
  </si>
  <si>
    <t>Subtotal</t>
  </si>
  <si>
    <t>cm3</t>
  </si>
  <si>
    <t>Resumen de propuesta para sellos cortafuego</t>
  </si>
  <si>
    <t>Vol. requerido</t>
  </si>
  <si>
    <t>Foil/Cartucho (600ml)</t>
  </si>
  <si>
    <t>Caneca (5gal)</t>
  </si>
  <si>
    <t>El volumen de llenado de la junta depende del tipo de perfil y de la separación con el muro de apoyo.</t>
  </si>
  <si>
    <t>unidad</t>
  </si>
  <si>
    <t>m</t>
  </si>
  <si>
    <t>Collarín (unidad)</t>
  </si>
  <si>
    <t>Caja (10m)</t>
  </si>
  <si>
    <t>código</t>
  </si>
  <si>
    <t>rendimiento</t>
  </si>
  <si>
    <t>presentación</t>
  </si>
  <si>
    <t>precio</t>
  </si>
  <si>
    <t>producto</t>
  </si>
  <si>
    <t>Lata/Cartucho (24oz)</t>
  </si>
  <si>
    <t>Foil/Cartucho (300ml)</t>
  </si>
  <si>
    <t>CS 270 P1</t>
  </si>
  <si>
    <t>Boquilla CS</t>
  </si>
  <si>
    <t>DSC SCH</t>
  </si>
  <si>
    <t>Mezclador CP620</t>
  </si>
  <si>
    <t>CF-DS1</t>
  </si>
  <si>
    <t>CF R 1</t>
  </si>
  <si>
    <t>La tabla de códigos no se imprime;</t>
  </si>
  <si>
    <t>CF-AS CJP</t>
  </si>
  <si>
    <t>Condiciones generales de la propuesta</t>
  </si>
  <si>
    <t>ITEM</t>
  </si>
  <si>
    <t>DESCRIPCIÓN</t>
  </si>
  <si>
    <t>ITEM DESCRIPCION</t>
  </si>
  <si>
    <t>Barrera_cortafuego</t>
  </si>
  <si>
    <t>Elementos_pasantes</t>
  </si>
  <si>
    <t>Sello_cortafuego</t>
  </si>
  <si>
    <t>TIPO: BARRERA FS</t>
  </si>
  <si>
    <t>(W) Muro en drywall</t>
  </si>
  <si>
    <t>(W) Muro no UL</t>
  </si>
  <si>
    <t>(F/C) Losa en concreto</t>
  </si>
  <si>
    <t>(F/C) Losa mixta (steeldeck)</t>
  </si>
  <si>
    <t>(F/C) Losa no UL</t>
  </si>
  <si>
    <t>Abertura_perforación</t>
  </si>
  <si>
    <t>TIPO: ABERTURA</t>
  </si>
  <si>
    <t>(W) Muro en concreto o mampostería</t>
  </si>
  <si>
    <t xml:space="preserve">
La imagen insertada debe ajustarse para una anchura de &lt;3,8cm y debe centrarse en la celda.</t>
  </si>
  <si>
    <t>c</t>
  </si>
  <si>
    <r>
      <rPr>
        <b/>
        <sz val="8"/>
        <rFont val="Arial"/>
        <family val="2"/>
      </rPr>
      <t>A</t>
    </r>
    <r>
      <rPr>
        <b/>
        <sz val="5"/>
        <rFont val="Arial"/>
        <family val="2"/>
      </rPr>
      <t>p</t>
    </r>
  </si>
  <si>
    <r>
      <rPr>
        <b/>
        <sz val="8"/>
        <rFont val="Arial"/>
        <family val="2"/>
      </rPr>
      <t>A</t>
    </r>
    <r>
      <rPr>
        <b/>
        <sz val="5"/>
        <rFont val="Arial"/>
        <family val="2"/>
      </rPr>
      <t>g</t>
    </r>
  </si>
  <si>
    <r>
      <rPr>
        <b/>
        <sz val="8"/>
        <rFont val="Arial"/>
        <family val="2"/>
      </rPr>
      <t>A</t>
    </r>
    <r>
      <rPr>
        <b/>
        <sz val="5"/>
        <rFont val="Arial"/>
        <family val="2"/>
      </rPr>
      <t>s</t>
    </r>
    <r>
      <rPr>
        <b/>
        <sz val="7"/>
        <rFont val="Arial"/>
        <family val="2"/>
      </rPr>
      <t xml:space="preserve">
</t>
    </r>
    <r>
      <rPr>
        <b/>
        <sz val="5"/>
        <rFont val="Arial"/>
        <family val="2"/>
      </rPr>
      <t>(</t>
    </r>
    <r>
      <rPr>
        <b/>
        <sz val="7"/>
        <rFont val="Arial"/>
        <family val="2"/>
      </rPr>
      <t>A</t>
    </r>
    <r>
      <rPr>
        <b/>
        <sz val="5"/>
        <rFont val="Arial"/>
        <family val="2"/>
      </rPr>
      <t xml:space="preserve">g – </t>
    </r>
    <r>
      <rPr>
        <b/>
        <sz val="7"/>
        <rFont val="Arial"/>
        <family val="2"/>
      </rPr>
      <t>A</t>
    </r>
    <r>
      <rPr>
        <b/>
        <sz val="5"/>
        <rFont val="Arial"/>
        <family val="2"/>
      </rPr>
      <t>p)</t>
    </r>
  </si>
  <si>
    <t>SUBTOTAL</t>
  </si>
  <si>
    <r>
      <t xml:space="preserve">. </t>
    </r>
    <r>
      <rPr>
        <sz val="6"/>
        <color rgb="FFFF0000"/>
        <rFont val="Arial"/>
        <family val="2"/>
      </rPr>
      <t xml:space="preserve">Descripción del sello requerido. Por ejemplo: </t>
    </r>
    <r>
      <rPr>
        <sz val="6"/>
        <rFont val="Arial"/>
        <family val="2"/>
      </rPr>
      <t>"Multiples pases de tubería en PVC, acero de red contraincendios (RCI), cobre con/sin aislamiento XX000, EMT, y cables atravez de perforación cirdular en muro de mampostería de 20cm de espesor"</t>
    </r>
  </si>
  <si>
    <r>
      <t xml:space="preserve">. </t>
    </r>
    <r>
      <rPr>
        <sz val="6"/>
        <color rgb="FFFF0000"/>
        <rFont val="Arial"/>
        <family val="2"/>
      </rPr>
      <t xml:space="preserve">Descripción de la localización del sello. Por ejemplo: </t>
    </r>
    <r>
      <rPr>
        <sz val="6"/>
        <rFont val="Arial"/>
        <family val="2"/>
      </rPr>
      <t>"Parte superior de muro norte en cuarto de control de piso 2, entre ejes A1 y B1, etc."</t>
    </r>
    <r>
      <rPr>
        <sz val="6"/>
        <color rgb="FFFF0000"/>
        <rFont val="Arial"/>
        <family val="2"/>
      </rPr>
      <t xml:space="preserve">
</t>
    </r>
  </si>
  <si>
    <r>
      <t xml:space="preserve">Se deben seguir y cumplir todas las especificaciones del certificado UL indicado para este caso. </t>
    </r>
    <r>
      <rPr>
        <sz val="6"/>
        <color rgb="FFFF0000"/>
        <rFont val="Arial"/>
        <family val="2"/>
      </rPr>
      <t xml:space="preserve">Con este texto liberamos nuestra responsabilidad ante una instalación inadecuada. (aplica tambien para juntas cortafuego). Es recomendable ser lo mas detallado que se pueda
</t>
    </r>
  </si>
  <si>
    <t>INGENIERÍA</t>
  </si>
  <si>
    <t xml:space="preserve">P R O P U E S T A   C O M E R C I A L / T É C N I C A </t>
  </si>
  <si>
    <t>Comentarios generales</t>
  </si>
  <si>
    <t>2) Las cantidades definitivas pueden variar en función del buen manejo, capacitación y experticia de los operarios así como de las condiciones de instalación de los productos. Los precios incluidos en este documento para productos, accesorios y/o útiles necesarios para la instalación en obra de los sellos especificados, son de referencia; los precios finales de compra pueden variar según las condiciones especificas de la oferta. Los impuestos, los descuentos para el cliente (cuando aplique) y los precios efectivos de compra, se indican formalmente en la cotización y/o en la factura de venta correspondiente anexada según requerimiento del cliente.</t>
  </si>
  <si>
    <t>Los sellos cortafuegos requieren de una revisión y un juicio de ingeniería (EJ) específico para el caso. Las cantidades estimadas se calculan con base en la certificación UL más apróximada. La información presentada en este documento debe ser validada por el responsable del proyecto. 
Hilti no se responsabiliza por cambios en las cantidades debidos a cambios en diseño/obra, por mal manejo y/o por manipulación de los materiales.</t>
  </si>
  <si>
    <t>Unidad (Caja x4)</t>
  </si>
  <si>
    <t>Junta de fachada (CW)</t>
  </si>
  <si>
    <t>Junta de muro muro (WW)</t>
  </si>
  <si>
    <t>Junta de muro-piso (FW)</t>
  </si>
  <si>
    <t>Junta de losa-losa (FF)</t>
  </si>
  <si>
    <t>Junta de muro-techo (HW)</t>
  </si>
  <si>
    <t>Junta con steeldeck (HW)</t>
  </si>
  <si>
    <t>Mixto (muros y/o losas)</t>
  </si>
  <si>
    <t>Caja (interruptor/accesorios)</t>
  </si>
  <si>
    <t xml:space="preserve"> - El código se debe repetir en todas las filas que corresponden a un determinado sello, de otra manera no van a cuantificarse correctamente los productos especificados. Es recomendable que todas las filas de un mismo código estén consecutivas para mantener el orden en la especificación.</t>
  </si>
  <si>
    <t xml:space="preserve"> - Cuando se especifiquen varios productos, cada producto debe estar registrado en una fila.</t>
  </si>
  <si>
    <t xml:space="preserve"> - Cada tipo de elemento pasante debe registrarse en una fila.</t>
  </si>
  <si>
    <t xml:space="preserve"> - Los espesores de productos deberían redondearse por encima a los centimetros según lo indicado en la UL. En el caso de los bloques cortafuego (CF) los valores de espesor deben estar en función de las medidas nominales del bloque (2x5x8in).</t>
  </si>
  <si>
    <t xml:space="preserve"> - Es recomendable dejar 1 fila en blanco para cada sello, a fin de prevenir posibles cambios de producto a futuro.</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</si>
</sst>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quot; cm&quot;"/>
    <numFmt numFmtId="165" formatCode="0.00&quot; m&quot;"/>
    <numFmt numFmtId="166" formatCode="0.00&quot; cm2&quot;"/>
    <numFmt numFmtId="167" formatCode="0.0&quot; cm3&quot;"/>
    <numFmt numFmtId="168" formatCode="0.0"/>
    <numFmt numFmtId="169" formatCode="0&quot; unid&quot;"/>
    <numFmt numFmtId="170" formatCode="0.0&quot; kg&quot;"/>
    <numFmt numFmtId="171" formatCode="0.0&quot; kg/m3&quot;"/>
    <numFmt numFmtId="172" formatCode="0.0000&quot; m3&quot;"/>
    <numFmt numFmtId="173" formatCode="0.0&quot; :&quot;"/>
    <numFmt numFmtId="174" formatCode="0.000"/>
    <numFmt numFmtId="175" formatCode="[$-240A]d&quot; / &quot;mmm&quot; / &quot;yyyy;@"/>
    <numFmt numFmtId="176" formatCode="[$$-240A]\ #,##0"/>
    <numFmt numFmtId="177" formatCode="&quot;$&quot;#,##0"/>
    <numFmt numFmtId="178" formatCode="0&quot; m&quot;"/>
    <numFmt numFmtId="179" formatCode="#,##0&quot; cm3&quot;"/>
    <numFmt numFmtId="180" formatCode="&quot;TOTAL:  &quot;_-[$$-240A]* #,##0&quot; COP&quot;_-;\-[$$-240A]* #,##0&quot; COP&quot;_-;_-[$$-240A]* &quot;-&quot;_-;_-@_-"/>
  </numFmts>
  <fonts count="45" x14ac:knownFonts="1">
    <font>
      <sz val="10"/>
      <color theme="1"/>
      <name val="Arial"/>
      <family val="2"/>
    </font>
    <font>
      <sz val="10"/>
      <color theme="1"/>
      <name val="Arial"/>
      <family val="2"/>
    </font>
    <font>
      <sz val="8"/>
      <color theme="1"/>
      <name val="Arial"/>
      <family val="2"/>
    </font>
    <font>
      <sz val="8"/>
      <name val="Arial"/>
      <family val="2"/>
    </font>
    <font>
      <b/>
      <sz val="10"/>
      <color theme="1"/>
      <name val="Arial"/>
      <family val="2"/>
    </font>
    <font>
      <b/>
      <sz val="12"/>
      <color theme="1"/>
      <name val="Arial"/>
      <family val="2"/>
    </font>
    <font>
      <sz val="12"/>
      <color theme="1"/>
      <name val="Arial"/>
      <family val="2"/>
    </font>
    <font>
      <sz val="10"/>
      <color rgb="FF000000"/>
      <name val="Arial"/>
      <family val="2"/>
    </font>
    <font>
      <b/>
      <sz val="10"/>
      <color theme="0"/>
      <name val="Arial"/>
      <family val="2"/>
    </font>
    <font>
      <sz val="10"/>
      <color theme="1"/>
      <name val="Script MT Bold"/>
      <family val="4"/>
    </font>
    <font>
      <sz val="14"/>
      <color theme="1"/>
      <name val="Script MT Bold"/>
      <family val="4"/>
    </font>
    <font>
      <i/>
      <sz val="8"/>
      <color theme="1"/>
      <name val="Arial"/>
      <family val="2"/>
    </font>
    <font>
      <i/>
      <sz val="10"/>
      <color theme="1"/>
      <name val="Arial"/>
      <family val="2"/>
    </font>
    <font>
      <i/>
      <u/>
      <sz val="10"/>
      <color theme="1"/>
      <name val="Arial"/>
      <family val="2"/>
    </font>
    <font>
      <sz val="10"/>
      <color rgb="FFFF0000"/>
      <name val="Arial"/>
      <family val="2"/>
    </font>
    <font>
      <sz val="10"/>
      <color theme="4"/>
      <name val="Arial"/>
      <family val="2"/>
    </font>
    <font>
      <sz val="11"/>
      <color theme="1"/>
      <name val="Arial"/>
      <family val="2"/>
      <scheme val="minor"/>
    </font>
    <font>
      <u/>
      <sz val="10"/>
      <color theme="10"/>
      <name val="Arial"/>
      <family val="2"/>
    </font>
    <font>
      <u/>
      <sz val="10"/>
      <color theme="11"/>
      <name val="Arial"/>
      <family val="2"/>
    </font>
    <font>
      <b/>
      <i/>
      <sz val="10"/>
      <color theme="1"/>
      <name val="Arial"/>
      <family val="2"/>
    </font>
    <font>
      <b/>
      <sz val="9"/>
      <color theme="1"/>
      <name val="Arial"/>
      <family val="2"/>
    </font>
    <font>
      <b/>
      <i/>
      <sz val="10"/>
      <color rgb="FFC00000"/>
      <name val="Arial"/>
      <family val="2"/>
    </font>
    <font>
      <sz val="10"/>
      <color rgb="FF006100"/>
      <name val="Arial"/>
      <family val="2"/>
    </font>
    <font>
      <sz val="10"/>
      <color rgb="FF9C6500"/>
      <name val="Arial"/>
      <family val="2"/>
    </font>
    <font>
      <sz val="11"/>
      <color theme="1"/>
      <name val="Arial"/>
      <family val="2"/>
    </font>
    <font>
      <b/>
      <sz val="6"/>
      <name val="Arial"/>
      <family val="2"/>
    </font>
    <font>
      <sz val="8"/>
      <color theme="1"/>
      <name val="Arial Black"/>
      <family val="2"/>
    </font>
    <font>
      <sz val="9"/>
      <color theme="1"/>
      <name val="Arial"/>
      <family val="2"/>
    </font>
    <font>
      <b/>
      <sz val="7"/>
      <name val="Arial"/>
      <family val="2"/>
    </font>
    <font>
      <b/>
      <sz val="7"/>
      <color theme="1"/>
      <name val="Arial"/>
      <family val="2"/>
    </font>
    <font>
      <sz val="6"/>
      <name val="Arial"/>
      <family val="2"/>
    </font>
    <font>
      <b/>
      <sz val="12"/>
      <color theme="0"/>
      <name val="Arial Rounded MT Bold"/>
      <family val="2"/>
    </font>
    <font>
      <b/>
      <i/>
      <sz val="11"/>
      <color theme="1"/>
      <name val="Arial"/>
      <family val="2"/>
    </font>
    <font>
      <sz val="10"/>
      <color theme="1"/>
      <name val="Calibri"/>
      <family val="2"/>
    </font>
    <font>
      <b/>
      <i/>
      <sz val="8"/>
      <name val="Arial"/>
      <family val="2"/>
    </font>
    <font>
      <sz val="12"/>
      <name val="Arial"/>
      <family val="2"/>
    </font>
    <font>
      <i/>
      <sz val="10"/>
      <color theme="1"/>
      <name val="Arial"/>
      <family val="2"/>
      <scheme val="minor"/>
    </font>
    <font>
      <sz val="6"/>
      <color theme="1"/>
      <name val="Arial"/>
      <family val="2"/>
    </font>
    <font>
      <sz val="7"/>
      <color theme="1"/>
      <name val="Arial"/>
      <family val="2"/>
    </font>
    <font>
      <sz val="6"/>
      <color rgb="FFFF0000"/>
      <name val="Arial"/>
      <family val="2"/>
    </font>
    <font>
      <b/>
      <sz val="8"/>
      <color theme="0"/>
      <name val="Arial"/>
      <family val="2"/>
    </font>
    <font>
      <b/>
      <sz val="12"/>
      <color theme="0"/>
      <name val="Arial"/>
      <family val="2"/>
    </font>
    <font>
      <b/>
      <sz val="8"/>
      <color theme="1"/>
      <name val="Arial"/>
      <family val="2"/>
    </font>
    <font>
      <b/>
      <sz val="8"/>
      <name val="Arial"/>
      <family val="2"/>
    </font>
    <font>
      <b/>
      <sz val="5"/>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rgb="FFD10024"/>
        <bgColor indexed="64"/>
      </patternFill>
    </fill>
    <fill>
      <patternFill patternType="solid">
        <fgColor theme="0"/>
        <bgColor indexed="64"/>
      </patternFill>
    </fill>
    <fill>
      <patternFill patternType="solid">
        <fgColor rgb="FFFFFFFF"/>
        <bgColor rgb="FF000000"/>
      </patternFill>
    </fill>
    <fill>
      <patternFill patternType="solid">
        <fgColor theme="0" tint="-0.14999847407452621"/>
        <bgColor indexed="64"/>
      </patternFill>
    </fill>
    <fill>
      <patternFill patternType="solid">
        <fgColor theme="0" tint="-0.249977111117893"/>
        <bgColor indexed="64"/>
      </patternFill>
    </fill>
    <fill>
      <patternFill patternType="solid">
        <fgColor theme="1"/>
        <bgColor indexed="64"/>
      </patternFill>
    </fill>
    <fill>
      <patternFill patternType="solid">
        <fgColor theme="7"/>
        <bgColor indexed="64"/>
      </patternFill>
    </fill>
    <fill>
      <patternFill patternType="solid">
        <fgColor rgb="FFC6EFCE"/>
      </patternFill>
    </fill>
    <fill>
      <patternFill patternType="solid">
        <fgColor rgb="FFFFEB9C"/>
      </patternFill>
    </fill>
    <fill>
      <patternFill patternType="solid">
        <fgColor theme="7" tint="0.79998168889431442"/>
        <bgColor indexed="64"/>
      </patternFill>
    </fill>
  </fills>
  <borders count="3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medium">
        <color auto="1"/>
      </top>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medium">
        <color auto="1"/>
      </left>
      <right/>
      <top/>
      <bottom style="medium">
        <color auto="1"/>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top style="medium">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auto="1"/>
      </right>
      <top/>
      <bottom style="medium">
        <color indexed="64"/>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bottom style="dotted">
        <color theme="1" tint="0.499984740745262"/>
      </bottom>
      <diagonal/>
    </border>
    <border>
      <left style="thin">
        <color auto="1"/>
      </left>
      <right style="thin">
        <color auto="1"/>
      </right>
      <top style="dotted">
        <color theme="1" tint="0.499984740745262"/>
      </top>
      <bottom style="dotted">
        <color theme="1" tint="0.499984740745262"/>
      </bottom>
      <diagonal/>
    </border>
    <border>
      <left style="thin">
        <color auto="1"/>
      </left>
      <right style="thin">
        <color auto="1"/>
      </right>
      <top style="hair">
        <color auto="1"/>
      </top>
      <bottom style="hair">
        <color auto="1"/>
      </bottom>
      <diagonal/>
    </border>
  </borders>
  <cellStyleXfs count="57">
    <xf numFmtId="0" fontId="0" fillId="0" borderId="0"/>
    <xf numFmtId="9" fontId="1" fillId="0" borderId="0" applyFont="0" applyFill="0" applyBorder="0" applyAlignment="0" applyProtection="0"/>
    <xf numFmtId="0" fontId="16"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22" fillId="10" borderId="0" applyNumberFormat="0" applyBorder="0" applyAlignment="0" applyProtection="0"/>
    <xf numFmtId="0" fontId="23" fillId="11" borderId="0" applyNumberFormat="0" applyBorder="0" applyAlignment="0" applyProtection="0"/>
  </cellStyleXfs>
  <cellXfs count="197">
    <xf numFmtId="0" fontId="0" fillId="0" borderId="0" xfId="0"/>
    <xf numFmtId="0" fontId="2" fillId="0" borderId="0" xfId="0" applyFont="1" applyAlignment="1" applyProtection="1">
      <alignment vertical="center"/>
    </xf>
    <xf numFmtId="0" fontId="0" fillId="0" borderId="0" xfId="0" applyAlignment="1" applyProtection="1">
      <alignment vertical="center"/>
    </xf>
    <xf numFmtId="0" fontId="6" fillId="0" borderId="0" xfId="0" applyFont="1" applyAlignment="1" applyProtection="1">
      <alignment vertical="center"/>
    </xf>
    <xf numFmtId="0" fontId="6" fillId="0" borderId="0" xfId="0" applyFont="1" applyBorder="1" applyAlignment="1" applyProtection="1">
      <alignment vertical="center"/>
    </xf>
    <xf numFmtId="0" fontId="5" fillId="4" borderId="0" xfId="0" applyFont="1" applyFill="1" applyBorder="1" applyAlignment="1" applyProtection="1">
      <alignment horizontal="center" vertical="center"/>
    </xf>
    <xf numFmtId="0" fontId="6" fillId="0" borderId="0" xfId="0" applyFont="1" applyBorder="1" applyAlignment="1" applyProtection="1">
      <alignment horizontal="left" indent="2"/>
    </xf>
    <xf numFmtId="0" fontId="6" fillId="0" borderId="8" xfId="0" applyFont="1" applyBorder="1" applyAlignment="1" applyProtection="1">
      <alignment vertical="center"/>
    </xf>
    <xf numFmtId="0" fontId="6" fillId="0" borderId="0" xfId="0" applyFont="1" applyFill="1" applyBorder="1" applyAlignment="1" applyProtection="1">
      <alignment vertical="center"/>
    </xf>
    <xf numFmtId="0" fontId="6" fillId="0" borderId="0" xfId="0" applyFont="1" applyFill="1" applyAlignment="1" applyProtection="1">
      <alignment vertical="center"/>
    </xf>
    <xf numFmtId="0" fontId="0" fillId="0" borderId="0" xfId="0" applyAlignment="1" applyProtection="1">
      <alignment horizontal="center" vertical="center"/>
    </xf>
    <xf numFmtId="0" fontId="0" fillId="0" borderId="10" xfId="0" applyBorder="1" applyAlignment="1" applyProtection="1">
      <alignment vertical="center"/>
    </xf>
    <xf numFmtId="0" fontId="0" fillId="0" borderId="0" xfId="0" applyBorder="1" applyAlignment="1" applyProtection="1">
      <alignment vertical="center"/>
    </xf>
    <xf numFmtId="0" fontId="0" fillId="0" borderId="11" xfId="0" applyBorder="1" applyAlignment="1" applyProtection="1">
      <alignment vertical="center"/>
    </xf>
    <xf numFmtId="0" fontId="0" fillId="0" borderId="0" xfId="0" applyBorder="1" applyAlignment="1" applyProtection="1">
      <alignment horizontal="center" vertical="center"/>
    </xf>
    <xf numFmtId="0" fontId="0" fillId="0" borderId="11" xfId="0" applyBorder="1" applyAlignment="1" applyProtection="1">
      <alignment horizontal="center" vertical="center"/>
    </xf>
    <xf numFmtId="0" fontId="0" fillId="0" borderId="0" xfId="0" applyFill="1" applyBorder="1" applyAlignment="1" applyProtection="1">
      <alignment vertical="center"/>
    </xf>
    <xf numFmtId="0" fontId="0" fillId="0" borderId="9" xfId="0" applyBorder="1" applyAlignment="1" applyProtection="1">
      <alignment vertical="center"/>
    </xf>
    <xf numFmtId="0" fontId="0" fillId="0" borderId="8" xfId="0" applyBorder="1" applyAlignment="1" applyProtection="1">
      <alignment vertical="center"/>
    </xf>
    <xf numFmtId="0" fontId="0" fillId="0" borderId="12" xfId="0" applyBorder="1" applyAlignment="1" applyProtection="1">
      <alignment vertical="center"/>
    </xf>
    <xf numFmtId="0" fontId="0" fillId="0" borderId="0" xfId="0" applyAlignment="1" applyProtection="1">
      <alignment horizontal="left" vertical="center"/>
    </xf>
    <xf numFmtId="0" fontId="0" fillId="0" borderId="14" xfId="0" applyBorder="1" applyAlignment="1" applyProtection="1">
      <alignment vertical="center"/>
    </xf>
    <xf numFmtId="0" fontId="19" fillId="0" borderId="19" xfId="0" applyFont="1" applyBorder="1" applyAlignment="1" applyProtection="1">
      <alignment horizontal="center" vertical="center"/>
    </xf>
    <xf numFmtId="0" fontId="19" fillId="0" borderId="20" xfId="0" applyFont="1" applyBorder="1" applyAlignment="1" applyProtection="1">
      <alignment horizontal="center" vertical="center"/>
    </xf>
    <xf numFmtId="0" fontId="19" fillId="0" borderId="21" xfId="0" applyFont="1" applyBorder="1" applyAlignment="1" applyProtection="1">
      <alignment horizontal="center" vertical="center"/>
    </xf>
    <xf numFmtId="170" fontId="0" fillId="0" borderId="0" xfId="0" applyNumberFormat="1" applyBorder="1" applyAlignment="1" applyProtection="1">
      <alignment vertical="center"/>
    </xf>
    <xf numFmtId="0" fontId="19" fillId="0" borderId="24" xfId="0" applyFont="1" applyBorder="1" applyAlignment="1" applyProtection="1">
      <alignment horizontal="center" vertical="center"/>
    </xf>
    <xf numFmtId="0" fontId="19" fillId="0" borderId="25" xfId="0" applyFont="1" applyBorder="1" applyAlignment="1" applyProtection="1">
      <alignment horizontal="center" vertical="center"/>
    </xf>
    <xf numFmtId="0" fontId="19" fillId="0" borderId="26" xfId="0" applyFont="1" applyBorder="1" applyAlignment="1" applyProtection="1">
      <alignment horizontal="center" vertical="center"/>
    </xf>
    <xf numFmtId="170" fontId="0" fillId="0" borderId="8" xfId="0" applyNumberFormat="1" applyBorder="1" applyAlignment="1" applyProtection="1">
      <alignment vertical="center"/>
    </xf>
    <xf numFmtId="0" fontId="0" fillId="0" borderId="27" xfId="0" applyBorder="1" applyAlignment="1" applyProtection="1">
      <alignment vertical="center"/>
    </xf>
    <xf numFmtId="174" fontId="0" fillId="0" borderId="15" xfId="0" applyNumberFormat="1" applyBorder="1" applyAlignment="1" applyProtection="1">
      <alignment vertical="center"/>
    </xf>
    <xf numFmtId="1" fontId="0" fillId="0" borderId="15" xfId="0" applyNumberFormat="1" applyBorder="1" applyAlignment="1" applyProtection="1">
      <alignment vertical="center"/>
    </xf>
    <xf numFmtId="1" fontId="0" fillId="0" borderId="28" xfId="0" applyNumberFormat="1" applyBorder="1" applyAlignment="1" applyProtection="1">
      <alignment vertical="center"/>
    </xf>
    <xf numFmtId="0" fontId="0" fillId="0" borderId="22" xfId="0" applyBorder="1" applyAlignment="1" applyProtection="1">
      <alignment vertical="center"/>
    </xf>
    <xf numFmtId="174" fontId="0" fillId="0" borderId="1" xfId="0" applyNumberFormat="1" applyBorder="1" applyAlignment="1" applyProtection="1">
      <alignment vertical="center"/>
    </xf>
    <xf numFmtId="1" fontId="0" fillId="0" borderId="1" xfId="0" applyNumberFormat="1" applyBorder="1" applyAlignment="1" applyProtection="1">
      <alignment vertical="center"/>
    </xf>
    <xf numFmtId="1" fontId="0" fillId="0" borderId="23" xfId="0" applyNumberFormat="1" applyBorder="1" applyAlignment="1" applyProtection="1">
      <alignment vertical="center"/>
    </xf>
    <xf numFmtId="0" fontId="13" fillId="0" borderId="0" xfId="0" applyFont="1" applyBorder="1" applyAlignment="1" applyProtection="1">
      <alignment vertical="center"/>
    </xf>
    <xf numFmtId="0" fontId="12" fillId="0" borderId="0" xfId="0" applyFont="1" applyBorder="1" applyAlignment="1" applyProtection="1">
      <alignment horizontal="center" vertical="center"/>
    </xf>
    <xf numFmtId="0" fontId="0" fillId="0" borderId="24" xfId="0" applyBorder="1" applyAlignment="1" applyProtection="1">
      <alignment vertical="center"/>
    </xf>
    <xf numFmtId="174" fontId="0" fillId="0" borderId="25" xfId="0" applyNumberFormat="1" applyBorder="1" applyAlignment="1" applyProtection="1">
      <alignment vertical="center"/>
    </xf>
    <xf numFmtId="1" fontId="0" fillId="0" borderId="25" xfId="0" applyNumberFormat="1" applyBorder="1" applyAlignment="1" applyProtection="1">
      <alignment vertical="center"/>
    </xf>
    <xf numFmtId="1" fontId="0" fillId="0" borderId="26" xfId="0" applyNumberFormat="1" applyBorder="1" applyAlignment="1" applyProtection="1">
      <alignment vertical="center"/>
    </xf>
    <xf numFmtId="1" fontId="0" fillId="0" borderId="18" xfId="0" applyNumberFormat="1" applyBorder="1" applyAlignment="1" applyProtection="1">
      <alignment vertical="center"/>
    </xf>
    <xf numFmtId="168" fontId="0" fillId="0" borderId="0" xfId="0" applyNumberFormat="1" applyBorder="1" applyAlignment="1" applyProtection="1">
      <alignment vertical="center"/>
    </xf>
    <xf numFmtId="9" fontId="0" fillId="0" borderId="0" xfId="1" applyFont="1" applyBorder="1" applyAlignment="1" applyProtection="1">
      <alignment vertical="center"/>
    </xf>
    <xf numFmtId="0" fontId="0" fillId="0" borderId="8" xfId="0" applyFill="1" applyBorder="1" applyAlignment="1" applyProtection="1">
      <alignment vertical="center"/>
    </xf>
    <xf numFmtId="0" fontId="0" fillId="0" borderId="0" xfId="0" applyBorder="1" applyAlignment="1" applyProtection="1"/>
    <xf numFmtId="0" fontId="9" fillId="0" borderId="0" xfId="0" applyFont="1" applyBorder="1" applyAlignment="1" applyProtection="1">
      <alignment horizontal="right" vertical="center"/>
    </xf>
    <xf numFmtId="0" fontId="9" fillId="0" borderId="0" xfId="0" applyFont="1" applyBorder="1" applyAlignment="1" applyProtection="1">
      <alignment horizontal="left" vertical="center"/>
    </xf>
    <xf numFmtId="0" fontId="9" fillId="0" borderId="0" xfId="0" applyFont="1" applyBorder="1" applyAlignment="1" applyProtection="1">
      <alignment horizontal="left" vertical="top"/>
    </xf>
    <xf numFmtId="0" fontId="0" fillId="0" borderId="0" xfId="0" applyBorder="1" applyAlignment="1" applyProtection="1">
      <alignment horizontal="center" vertical="center" wrapText="1"/>
    </xf>
    <xf numFmtId="0" fontId="0" fillId="0" borderId="0" xfId="0" applyBorder="1" applyAlignment="1" applyProtection="1">
      <alignment horizontal="right" vertical="center" wrapText="1"/>
    </xf>
    <xf numFmtId="2" fontId="0" fillId="0" borderId="0" xfId="0" applyNumberFormat="1" applyBorder="1" applyAlignment="1" applyProtection="1">
      <alignment vertical="center"/>
    </xf>
    <xf numFmtId="168" fontId="0" fillId="9" borderId="0" xfId="0" applyNumberFormat="1" applyFill="1" applyBorder="1" applyAlignment="1" applyProtection="1">
      <alignment vertical="center"/>
    </xf>
    <xf numFmtId="168" fontId="14" fillId="6" borderId="0" xfId="0" applyNumberFormat="1" applyFont="1" applyFill="1" applyBorder="1" applyAlignment="1" applyProtection="1">
      <alignment vertical="center"/>
    </xf>
    <xf numFmtId="9" fontId="15" fillId="6" borderId="0" xfId="1" applyFont="1" applyFill="1" applyBorder="1" applyAlignment="1" applyProtection="1">
      <alignment vertical="center"/>
    </xf>
    <xf numFmtId="0" fontId="7" fillId="0" borderId="0" xfId="0" applyFont="1" applyAlignment="1" applyProtection="1"/>
    <xf numFmtId="1" fontId="0" fillId="0" borderId="0" xfId="0" applyNumberFormat="1" applyAlignment="1" applyProtection="1">
      <alignment vertical="center"/>
    </xf>
    <xf numFmtId="0" fontId="0" fillId="0" borderId="19" xfId="0" applyBorder="1" applyAlignment="1" applyProtection="1">
      <alignment vertical="center"/>
    </xf>
    <xf numFmtId="0" fontId="0" fillId="0" borderId="0" xfId="0" applyProtection="1"/>
    <xf numFmtId="0" fontId="0" fillId="0" borderId="0" xfId="0" applyAlignment="1" applyProtection="1"/>
    <xf numFmtId="0" fontId="29" fillId="0" borderId="0" xfId="0" applyFont="1" applyBorder="1" applyAlignment="1" applyProtection="1">
      <alignment horizontal="center" vertical="center" wrapText="1"/>
    </xf>
    <xf numFmtId="0" fontId="24" fillId="0" borderId="0" xfId="0" applyFont="1" applyBorder="1" applyAlignment="1" applyProtection="1">
      <alignment horizontal="left" vertical="center" wrapText="1" indent="1"/>
    </xf>
    <xf numFmtId="0" fontId="26" fillId="0" borderId="16" xfId="0" applyFont="1" applyBorder="1" applyAlignment="1" applyProtection="1"/>
    <xf numFmtId="0" fontId="2" fillId="0" borderId="16" xfId="0" applyFont="1" applyBorder="1" applyAlignment="1" applyProtection="1"/>
    <xf numFmtId="0" fontId="26" fillId="0" borderId="16" xfId="0" applyFont="1" applyBorder="1" applyAlignment="1" applyProtection="1">
      <alignment horizontal="left"/>
    </xf>
    <xf numFmtId="0" fontId="26" fillId="0" borderId="3" xfId="0" applyFont="1" applyBorder="1" applyAlignment="1" applyProtection="1"/>
    <xf numFmtId="1" fontId="0" fillId="0" borderId="0" xfId="0" applyNumberFormat="1" applyFont="1" applyFill="1" applyBorder="1" applyAlignment="1" applyProtection="1">
      <alignment horizontal="left" vertical="center" wrapText="1" indent="1"/>
    </xf>
    <xf numFmtId="175" fontId="2" fillId="0" borderId="0" xfId="0" applyNumberFormat="1" applyFont="1" applyBorder="1" applyAlignment="1" applyProtection="1">
      <alignment horizontal="center" vertical="center"/>
    </xf>
    <xf numFmtId="15" fontId="1" fillId="0" borderId="8" xfId="0" applyNumberFormat="1" applyFont="1" applyBorder="1" applyAlignment="1" applyProtection="1">
      <alignment vertical="center"/>
    </xf>
    <xf numFmtId="0" fontId="2" fillId="0" borderId="0" xfId="0" applyFont="1" applyBorder="1" applyAlignment="1" applyProtection="1"/>
    <xf numFmtId="0" fontId="2" fillId="4" borderId="0" xfId="0" applyFont="1" applyFill="1" applyProtection="1"/>
    <xf numFmtId="0" fontId="34" fillId="5" borderId="0" xfId="0" applyFont="1" applyFill="1" applyAlignment="1" applyProtection="1">
      <alignment horizontal="right"/>
    </xf>
    <xf numFmtId="0" fontId="0" fillId="0" borderId="0" xfId="0" applyFont="1" applyBorder="1" applyAlignment="1" applyProtection="1">
      <alignment vertical="center"/>
    </xf>
    <xf numFmtId="0" fontId="33" fillId="0" borderId="0" xfId="0" applyFont="1" applyBorder="1" applyAlignment="1" applyProtection="1">
      <alignment horizontal="left" vertical="top" wrapText="1"/>
    </xf>
    <xf numFmtId="0" fontId="29" fillId="0" borderId="0" xfId="0" applyFont="1" applyBorder="1" applyAlignment="1" applyProtection="1">
      <alignment horizontal="center" vertical="center"/>
    </xf>
    <xf numFmtId="0" fontId="28" fillId="6" borderId="1" xfId="0" applyFont="1" applyFill="1" applyBorder="1" applyAlignment="1" applyProtection="1">
      <alignment horizontal="center" vertical="center" wrapText="1"/>
    </xf>
    <xf numFmtId="168" fontId="38" fillId="0" borderId="0" xfId="0" applyNumberFormat="1" applyFont="1" applyBorder="1" applyAlignment="1" applyProtection="1">
      <alignment vertical="center"/>
    </xf>
    <xf numFmtId="0" fontId="37" fillId="0" borderId="0" xfId="0" applyFont="1" applyAlignment="1" applyProtection="1">
      <alignment horizontal="left" vertical="top" wrapText="1"/>
    </xf>
    <xf numFmtId="0" fontId="30" fillId="0" borderId="0" xfId="0" applyFont="1" applyFill="1" applyBorder="1" applyAlignment="1" applyProtection="1">
      <alignment horizontal="left" vertical="top" wrapText="1"/>
    </xf>
    <xf numFmtId="0" fontId="37" fillId="0" borderId="0" xfId="0" applyFont="1" applyAlignment="1" applyProtection="1">
      <alignment horizontal="left" vertical="top" wrapText="1"/>
      <protection locked="0"/>
    </xf>
    <xf numFmtId="0" fontId="37" fillId="0" borderId="0" xfId="0" applyFont="1" applyAlignment="1" applyProtection="1">
      <alignment horizontal="center" vertical="top" wrapText="1"/>
      <protection locked="0"/>
    </xf>
    <xf numFmtId="0" fontId="35" fillId="5" borderId="0" xfId="0" applyFont="1" applyFill="1" applyBorder="1" applyAlignment="1" applyProtection="1"/>
    <xf numFmtId="0" fontId="30" fillId="0" borderId="32" xfId="0" applyFont="1" applyFill="1" applyBorder="1" applyAlignment="1" applyProtection="1">
      <alignment horizontal="left" vertical="top" wrapText="1"/>
      <protection locked="0"/>
    </xf>
    <xf numFmtId="165" fontId="30" fillId="0" borderId="32" xfId="0" applyNumberFormat="1" applyFont="1" applyFill="1" applyBorder="1" applyAlignment="1" applyProtection="1">
      <alignment horizontal="left" vertical="top" wrapText="1"/>
      <protection locked="0"/>
    </xf>
    <xf numFmtId="164" fontId="30" fillId="0" borderId="32" xfId="0" applyNumberFormat="1" applyFont="1" applyFill="1" applyBorder="1" applyAlignment="1" applyProtection="1">
      <alignment horizontal="left" vertical="top" wrapText="1"/>
      <protection locked="0"/>
    </xf>
    <xf numFmtId="1" fontId="30" fillId="0" borderId="32" xfId="0" applyNumberFormat="1" applyFont="1" applyFill="1" applyBorder="1" applyAlignment="1" applyProtection="1">
      <alignment horizontal="left" vertical="top" wrapText="1"/>
      <protection locked="0"/>
    </xf>
    <xf numFmtId="0" fontId="0" fillId="0" borderId="0" xfId="0" applyAlignment="1" applyProtection="1">
      <alignment horizontal="right"/>
    </xf>
    <xf numFmtId="166" fontId="30" fillId="12" borderId="32" xfId="0" applyNumberFormat="1" applyFont="1" applyFill="1" applyBorder="1" applyAlignment="1" applyProtection="1">
      <alignment horizontal="right" vertical="top" wrapText="1"/>
    </xf>
    <xf numFmtId="167" fontId="30" fillId="12" borderId="32" xfId="0" applyNumberFormat="1" applyFont="1" applyFill="1" applyBorder="1" applyAlignment="1" applyProtection="1">
      <alignment horizontal="right" vertical="top" wrapText="1"/>
    </xf>
    <xf numFmtId="166" fontId="30" fillId="12" borderId="33" xfId="0" applyNumberFormat="1" applyFont="1" applyFill="1" applyBorder="1" applyAlignment="1" applyProtection="1">
      <alignment horizontal="right" vertical="top" wrapText="1"/>
    </xf>
    <xf numFmtId="167" fontId="30" fillId="12" borderId="33" xfId="0" applyNumberFormat="1" applyFont="1" applyFill="1" applyBorder="1" applyAlignment="1" applyProtection="1">
      <alignment horizontal="right" vertical="top" wrapText="1"/>
    </xf>
    <xf numFmtId="0" fontId="37" fillId="0" borderId="0" xfId="0" applyFont="1" applyAlignment="1" applyProtection="1">
      <alignment horizontal="right" vertical="top" wrapText="1"/>
      <protection locked="0"/>
    </xf>
    <xf numFmtId="0" fontId="37" fillId="0" borderId="0" xfId="0" applyFont="1" applyAlignment="1" applyProtection="1">
      <alignment horizontal="right" vertical="top" wrapText="1"/>
    </xf>
    <xf numFmtId="0" fontId="37" fillId="0" borderId="0" xfId="0" applyFont="1" applyAlignment="1" applyProtection="1">
      <alignment horizontal="right" wrapText="1"/>
    </xf>
    <xf numFmtId="0" fontId="0" fillId="0" borderId="0" xfId="0" applyAlignment="1" applyProtection="1">
      <alignment horizontal="center"/>
    </xf>
    <xf numFmtId="9" fontId="30" fillId="0" borderId="32" xfId="1" applyFont="1" applyFill="1" applyBorder="1" applyAlignment="1" applyProtection="1">
      <alignment horizontal="center" vertical="top" wrapText="1"/>
      <protection locked="0"/>
    </xf>
    <xf numFmtId="9" fontId="30" fillId="0" borderId="33" xfId="1" applyFont="1" applyFill="1" applyBorder="1" applyAlignment="1" applyProtection="1">
      <alignment horizontal="center" vertical="top" wrapText="1"/>
      <protection locked="0"/>
    </xf>
    <xf numFmtId="0" fontId="37" fillId="0" borderId="0" xfId="0" applyFont="1" applyAlignment="1" applyProtection="1">
      <alignment horizontal="center" wrapText="1"/>
      <protection locked="0"/>
    </xf>
    <xf numFmtId="0" fontId="28" fillId="6" borderId="31" xfId="0" applyFont="1" applyFill="1" applyBorder="1" applyAlignment="1" applyProtection="1">
      <alignment horizontal="left" vertical="center"/>
    </xf>
    <xf numFmtId="0" fontId="28" fillId="6" borderId="13" xfId="0" applyFont="1" applyFill="1" applyBorder="1" applyAlignment="1" applyProtection="1">
      <alignment horizontal="left" vertical="center"/>
    </xf>
    <xf numFmtId="0" fontId="28" fillId="6" borderId="30" xfId="0" applyFont="1" applyFill="1" applyBorder="1" applyAlignment="1" applyProtection="1">
      <alignment horizontal="left" vertical="center"/>
    </xf>
    <xf numFmtId="0" fontId="30" fillId="6" borderId="13" xfId="0" applyFont="1" applyFill="1" applyBorder="1" applyAlignment="1" applyProtection="1">
      <alignment horizontal="center" vertical="center" wrapText="1"/>
    </xf>
    <xf numFmtId="0" fontId="28" fillId="6" borderId="13" xfId="0" applyFont="1" applyFill="1" applyBorder="1" applyAlignment="1" applyProtection="1">
      <alignment horizontal="center" vertical="center" wrapText="1"/>
    </xf>
    <xf numFmtId="0" fontId="25" fillId="6" borderId="13" xfId="0" applyFont="1" applyFill="1" applyBorder="1" applyAlignment="1" applyProtection="1">
      <alignment horizontal="center" vertical="center" wrapText="1"/>
    </xf>
    <xf numFmtId="0" fontId="30" fillId="6" borderId="30" xfId="0" applyFont="1" applyFill="1" applyBorder="1" applyAlignment="1" applyProtection="1">
      <alignment horizontal="center" vertical="center" wrapText="1"/>
    </xf>
    <xf numFmtId="0" fontId="2" fillId="0" borderId="8" xfId="0" applyFont="1" applyBorder="1" applyAlignment="1" applyProtection="1">
      <alignment vertical="center"/>
      <protection locked="0"/>
    </xf>
    <xf numFmtId="0" fontId="30" fillId="0" borderId="34" xfId="0" applyFont="1" applyFill="1" applyBorder="1" applyAlignment="1" applyProtection="1">
      <alignment horizontal="left" vertical="top" wrapText="1"/>
      <protection locked="0"/>
    </xf>
    <xf numFmtId="165" fontId="30" fillId="0" borderId="34" xfId="0" applyNumberFormat="1" applyFont="1" applyFill="1" applyBorder="1" applyAlignment="1" applyProtection="1">
      <alignment horizontal="left" vertical="top" wrapText="1"/>
      <protection locked="0"/>
    </xf>
    <xf numFmtId="164" fontId="30" fillId="0" borderId="34" xfId="0" applyNumberFormat="1" applyFont="1" applyFill="1" applyBorder="1" applyAlignment="1" applyProtection="1">
      <alignment horizontal="left" vertical="top" wrapText="1"/>
      <protection locked="0"/>
    </xf>
    <xf numFmtId="1" fontId="30" fillId="0" borderId="34" xfId="0" applyNumberFormat="1" applyFont="1" applyFill="1" applyBorder="1" applyAlignment="1" applyProtection="1">
      <alignment horizontal="left" vertical="top" wrapText="1"/>
      <protection locked="0"/>
    </xf>
    <xf numFmtId="0" fontId="0" fillId="0" borderId="0" xfId="0" applyBorder="1" applyAlignment="1" applyProtection="1">
      <alignment horizontal="left" vertical="center"/>
    </xf>
    <xf numFmtId="0" fontId="6" fillId="0" borderId="0" xfId="0" applyFont="1" applyBorder="1" applyAlignment="1" applyProtection="1">
      <alignment horizontal="left" vertical="top"/>
    </xf>
    <xf numFmtId="1" fontId="0" fillId="4" borderId="17" xfId="0" applyNumberFormat="1" applyFont="1" applyFill="1" applyBorder="1" applyAlignment="1" applyProtection="1">
      <alignment horizontal="right" vertical="center" indent="1"/>
    </xf>
    <xf numFmtId="1" fontId="0" fillId="4" borderId="13" xfId="0" applyNumberFormat="1" applyFont="1" applyFill="1" applyBorder="1" applyAlignment="1" applyProtection="1">
      <alignment horizontal="right" vertical="center" indent="1"/>
    </xf>
    <xf numFmtId="1" fontId="0" fillId="4" borderId="4" xfId="0" applyNumberFormat="1" applyFont="1" applyFill="1" applyBorder="1" applyAlignment="1" applyProtection="1">
      <alignment horizontal="right" vertical="center" indent="1"/>
    </xf>
    <xf numFmtId="179" fontId="2" fillId="4" borderId="17" xfId="0" applyNumberFormat="1" applyFont="1" applyFill="1" applyBorder="1" applyAlignment="1" applyProtection="1">
      <alignment horizontal="right" vertical="center" indent="1"/>
    </xf>
    <xf numFmtId="179" fontId="2" fillId="4" borderId="13" xfId="0" applyNumberFormat="1" applyFont="1" applyFill="1" applyBorder="1" applyAlignment="1" applyProtection="1">
      <alignment horizontal="right" vertical="center" indent="1"/>
    </xf>
    <xf numFmtId="178" fontId="2" fillId="4" borderId="13" xfId="0" applyNumberFormat="1" applyFont="1" applyFill="1" applyBorder="1" applyAlignment="1" applyProtection="1">
      <alignment horizontal="right" vertical="center" indent="2"/>
    </xf>
    <xf numFmtId="169" fontId="2" fillId="4" borderId="4" xfId="0" applyNumberFormat="1" applyFont="1" applyFill="1" applyBorder="1" applyAlignment="1" applyProtection="1">
      <alignment horizontal="right" vertical="center" indent="1"/>
    </xf>
    <xf numFmtId="176" fontId="2" fillId="4" borderId="17" xfId="0" applyNumberFormat="1" applyFont="1" applyFill="1" applyBorder="1" applyAlignment="1" applyProtection="1">
      <alignment horizontal="right" vertical="center"/>
    </xf>
    <xf numFmtId="176" fontId="2" fillId="4" borderId="13" xfId="0" applyNumberFormat="1" applyFont="1" applyFill="1" applyBorder="1" applyAlignment="1" applyProtection="1">
      <alignment horizontal="right" vertical="center"/>
    </xf>
    <xf numFmtId="176" fontId="2" fillId="4" borderId="4" xfId="0" applyNumberFormat="1" applyFont="1" applyFill="1" applyBorder="1" applyAlignment="1" applyProtection="1">
      <alignment horizontal="right" vertical="center"/>
    </xf>
    <xf numFmtId="0" fontId="4" fillId="4" borderId="17" xfId="0" applyFont="1" applyFill="1" applyBorder="1" applyAlignment="1" applyProtection="1">
      <alignment horizontal="right" vertical="center" indent="1"/>
    </xf>
    <xf numFmtId="0" fontId="4" fillId="4" borderId="13" xfId="0" applyFont="1" applyFill="1" applyBorder="1" applyAlignment="1" applyProtection="1">
      <alignment horizontal="right" vertical="center" indent="1"/>
    </xf>
    <xf numFmtId="0" fontId="4" fillId="4" borderId="4" xfId="0" applyFont="1" applyFill="1" applyBorder="1" applyAlignment="1" applyProtection="1">
      <alignment horizontal="right" vertical="center" indent="1"/>
    </xf>
    <xf numFmtId="0" fontId="42" fillId="4" borderId="17" xfId="0" applyFont="1" applyFill="1" applyBorder="1" applyAlignment="1" applyProtection="1">
      <alignment horizontal="left" vertical="center"/>
    </xf>
    <xf numFmtId="0" fontId="41" fillId="3" borderId="8" xfId="0" applyFont="1" applyFill="1" applyBorder="1" applyAlignment="1" applyProtection="1">
      <alignment horizontal="center" wrapText="1"/>
    </xf>
    <xf numFmtId="0" fontId="5" fillId="0" borderId="0" xfId="0" applyFont="1" applyFill="1" applyAlignment="1" applyProtection="1">
      <alignment vertical="center"/>
    </xf>
    <xf numFmtId="0" fontId="11" fillId="0" borderId="13" xfId="0" applyFont="1" applyBorder="1" applyAlignment="1" applyProtection="1">
      <alignment horizontal="center" vertical="center" wrapText="1"/>
    </xf>
    <xf numFmtId="0" fontId="11" fillId="0" borderId="3" xfId="0" applyFont="1" applyBorder="1" applyAlignment="1" applyProtection="1">
      <alignment vertical="center"/>
    </xf>
    <xf numFmtId="1" fontId="0" fillId="0" borderId="0" xfId="0" applyNumberFormat="1" applyBorder="1" applyAlignment="1" applyProtection="1">
      <alignment horizontal="right" vertical="center"/>
    </xf>
    <xf numFmtId="0" fontId="0" fillId="0" borderId="0" xfId="0" applyBorder="1" applyAlignment="1" applyProtection="1">
      <alignment horizontal="right" vertical="center"/>
    </xf>
    <xf numFmtId="0" fontId="11" fillId="0" borderId="13" xfId="0" applyFont="1" applyBorder="1" applyAlignment="1" applyProtection="1">
      <alignment horizontal="center" vertical="center"/>
    </xf>
    <xf numFmtId="167" fontId="2" fillId="4" borderId="17" xfId="0" applyNumberFormat="1" applyFont="1" applyFill="1" applyBorder="1" applyAlignment="1" applyProtection="1">
      <alignment vertical="center"/>
    </xf>
    <xf numFmtId="167" fontId="2" fillId="4" borderId="13" xfId="0" applyNumberFormat="1" applyFont="1" applyFill="1" applyBorder="1" applyAlignment="1" applyProtection="1">
      <alignment vertical="center"/>
    </xf>
    <xf numFmtId="167" fontId="2" fillId="4" borderId="4" xfId="0" applyNumberFormat="1" applyFont="1" applyFill="1" applyBorder="1" applyAlignment="1" applyProtection="1">
      <alignment vertical="center"/>
    </xf>
    <xf numFmtId="0" fontId="0" fillId="4" borderId="17" xfId="0" applyFont="1" applyFill="1" applyBorder="1" applyAlignment="1" applyProtection="1">
      <alignment vertical="center"/>
      <protection locked="0"/>
    </xf>
    <xf numFmtId="0" fontId="0" fillId="4" borderId="13" xfId="0" applyFont="1" applyFill="1" applyBorder="1" applyAlignment="1" applyProtection="1">
      <alignment vertical="center"/>
      <protection locked="0"/>
    </xf>
    <xf numFmtId="0" fontId="0" fillId="4" borderId="4" xfId="0" applyFont="1" applyFill="1" applyBorder="1" applyAlignment="1" applyProtection="1">
      <alignment vertical="center"/>
      <protection locked="0"/>
    </xf>
    <xf numFmtId="176" fontId="0" fillId="2" borderId="2" xfId="0" applyNumberFormat="1" applyFont="1" applyFill="1" applyBorder="1" applyAlignment="1" applyProtection="1">
      <alignment horizontal="right" vertical="center" indent="1"/>
    </xf>
    <xf numFmtId="176" fontId="0" fillId="2" borderId="13" xfId="0" applyNumberFormat="1" applyFont="1" applyFill="1" applyBorder="1" applyAlignment="1" applyProtection="1">
      <alignment horizontal="right" vertical="center" indent="1"/>
    </xf>
    <xf numFmtId="176" fontId="0" fillId="2" borderId="4" xfId="0" applyNumberFormat="1" applyFont="1" applyFill="1" applyBorder="1" applyAlignment="1" applyProtection="1">
      <alignment horizontal="right" vertical="center" indent="1"/>
    </xf>
    <xf numFmtId="0" fontId="0" fillId="0" borderId="2" xfId="0" applyFont="1" applyBorder="1" applyAlignment="1" applyProtection="1">
      <alignment horizontal="left" vertical="top" indent="1"/>
      <protection locked="0"/>
    </xf>
    <xf numFmtId="0" fontId="2" fillId="0" borderId="0" xfId="0" applyFont="1" applyBorder="1" applyAlignment="1" applyProtection="1">
      <alignment horizontal="left" vertical="top" indent="1"/>
      <protection locked="0"/>
    </xf>
    <xf numFmtId="0" fontId="42" fillId="4" borderId="13" xfId="0" applyFont="1" applyFill="1" applyBorder="1" applyAlignment="1" applyProtection="1">
      <alignment horizontal="left" vertical="center"/>
    </xf>
    <xf numFmtId="0" fontId="42" fillId="4" borderId="4" xfId="0" applyFont="1" applyFill="1" applyBorder="1" applyAlignment="1" applyProtection="1">
      <alignment horizontal="left" vertical="center"/>
    </xf>
    <xf numFmtId="0" fontId="40" fillId="3" borderId="8" xfId="0" applyFont="1" applyFill="1" applyBorder="1" applyAlignment="1" applyProtection="1">
      <alignment horizontal="center" vertical="center" wrapText="1"/>
    </xf>
    <xf numFmtId="0" fontId="2" fillId="0" borderId="0" xfId="0" applyFont="1" applyAlignment="1" applyProtection="1">
      <alignment horizontal="center" vertical="center"/>
    </xf>
    <xf numFmtId="173" fontId="23" fillId="11" borderId="0" xfId="56" applyNumberFormat="1" applyAlignment="1" applyProtection="1">
      <alignment vertical="center"/>
    </xf>
    <xf numFmtId="0" fontId="0" fillId="0" borderId="20" xfId="0" applyBorder="1" applyAlignment="1" applyProtection="1">
      <alignment vertical="center"/>
    </xf>
    <xf numFmtId="0" fontId="0" fillId="0" borderId="21" xfId="0" applyBorder="1" applyAlignment="1" applyProtection="1">
      <alignment vertical="center"/>
    </xf>
    <xf numFmtId="0" fontId="0" fillId="0" borderId="1" xfId="0" applyBorder="1" applyAlignment="1" applyProtection="1">
      <alignment vertical="center"/>
    </xf>
    <xf numFmtId="0" fontId="0" fillId="0" borderId="23" xfId="0" applyBorder="1" applyAlignment="1" applyProtection="1">
      <alignment vertical="center"/>
    </xf>
    <xf numFmtId="0" fontId="0" fillId="0" borderId="25" xfId="0" applyBorder="1" applyAlignment="1" applyProtection="1">
      <alignment vertical="center"/>
    </xf>
    <xf numFmtId="0" fontId="0" fillId="0" borderId="26" xfId="0" applyBorder="1" applyAlignment="1" applyProtection="1">
      <alignment vertical="center"/>
    </xf>
    <xf numFmtId="0" fontId="43" fillId="6" borderId="1" xfId="0" applyFont="1" applyFill="1" applyBorder="1" applyAlignment="1" applyProtection="1">
      <alignment horizontal="center" vertical="center"/>
    </xf>
    <xf numFmtId="0" fontId="0" fillId="0" borderId="2" xfId="0" applyFont="1" applyBorder="1" applyAlignment="1" applyProtection="1">
      <alignment horizontal="left" vertical="center" indent="1"/>
      <protection locked="0"/>
    </xf>
    <xf numFmtId="0" fontId="0" fillId="0" borderId="2" xfId="0" applyFont="1" applyBorder="1" applyAlignment="1" applyProtection="1">
      <alignment horizontal="left" vertical="top" indent="1"/>
      <protection locked="0"/>
    </xf>
    <xf numFmtId="0" fontId="2" fillId="0" borderId="0" xfId="0" applyFont="1" applyBorder="1" applyAlignment="1" applyProtection="1">
      <alignment horizontal="left" vertical="top" indent="1"/>
      <protection locked="0"/>
    </xf>
    <xf numFmtId="180" fontId="41" fillId="8" borderId="3" xfId="0" applyNumberFormat="1" applyFont="1" applyFill="1" applyBorder="1" applyAlignment="1" applyProtection="1">
      <alignment horizontal="center" vertical="center"/>
      <protection hidden="1"/>
    </xf>
    <xf numFmtId="0" fontId="32" fillId="7" borderId="0" xfId="0" applyFont="1" applyFill="1" applyBorder="1" applyAlignment="1" applyProtection="1">
      <alignment horizontal="left" indent="1"/>
    </xf>
    <xf numFmtId="0" fontId="0" fillId="0" borderId="0" xfId="0" applyFont="1" applyBorder="1" applyAlignment="1" applyProtection="1">
      <alignment horizontal="left" vertical="top" wrapText="1" indent="1"/>
    </xf>
    <xf numFmtId="0" fontId="0" fillId="0" borderId="0" xfId="0" applyFont="1" applyBorder="1" applyAlignment="1" applyProtection="1">
      <alignment horizontal="left" vertical="center" wrapText="1" indent="1"/>
    </xf>
    <xf numFmtId="0" fontId="26" fillId="0" borderId="3" xfId="0" applyFont="1" applyBorder="1" applyAlignment="1" applyProtection="1">
      <alignment horizontal="left"/>
    </xf>
    <xf numFmtId="175" fontId="2" fillId="0" borderId="0" xfId="0" applyNumberFormat="1" applyFont="1" applyBorder="1" applyAlignment="1" applyProtection="1">
      <alignment horizontal="center" vertical="center"/>
    </xf>
    <xf numFmtId="0" fontId="2" fillId="0" borderId="8" xfId="0" applyFont="1" applyBorder="1" applyAlignment="1" applyProtection="1">
      <alignment horizontal="left" vertical="center" indent="1"/>
    </xf>
    <xf numFmtId="15" fontId="1" fillId="0" borderId="8" xfId="0" applyNumberFormat="1" applyFont="1" applyBorder="1" applyAlignment="1" applyProtection="1">
      <alignment horizontal="center" vertical="center"/>
    </xf>
    <xf numFmtId="0" fontId="40" fillId="3" borderId="8" xfId="0" applyFont="1" applyFill="1" applyBorder="1" applyAlignment="1" applyProtection="1">
      <alignment horizontal="center" vertical="center" wrapText="1"/>
    </xf>
    <xf numFmtId="0" fontId="35" fillId="5" borderId="2" xfId="0" applyFont="1" applyFill="1" applyBorder="1" applyAlignment="1" applyProtection="1">
      <alignment horizontal="center"/>
      <protection locked="0"/>
    </xf>
    <xf numFmtId="0" fontId="2" fillId="0" borderId="0" xfId="0" applyFont="1" applyBorder="1" applyAlignment="1" applyProtection="1">
      <alignment horizontal="left" vertical="top" indent="1"/>
    </xf>
    <xf numFmtId="0" fontId="34" fillId="5" borderId="0" xfId="0" applyFont="1" applyFill="1" applyAlignment="1" applyProtection="1">
      <alignment horizontal="right" wrapText="1"/>
    </xf>
    <xf numFmtId="0" fontId="27" fillId="0" borderId="2" xfId="0" applyFont="1" applyBorder="1" applyAlignment="1" applyProtection="1">
      <alignment horizontal="left" vertical="top" indent="1"/>
    </xf>
    <xf numFmtId="0" fontId="0" fillId="0" borderId="2" xfId="0" applyFont="1" applyBorder="1" applyAlignment="1" applyProtection="1">
      <alignment horizontal="left" vertical="top" indent="1"/>
    </xf>
    <xf numFmtId="0" fontId="0" fillId="0" borderId="2" xfId="0" applyFont="1" applyBorder="1" applyAlignment="1" applyProtection="1">
      <alignment horizontal="left" vertical="center" indent="1"/>
    </xf>
    <xf numFmtId="0" fontId="32" fillId="7" borderId="0" xfId="0" applyFont="1" applyFill="1" applyBorder="1" applyAlignment="1" applyProtection="1">
      <alignment horizontal="left" indent="2"/>
    </xf>
    <xf numFmtId="49" fontId="12" fillId="0" borderId="0" xfId="0" applyNumberFormat="1" applyFont="1" applyBorder="1" applyAlignment="1" applyProtection="1">
      <alignment horizontal="left" vertical="top" wrapText="1" indent="1"/>
    </xf>
    <xf numFmtId="0" fontId="36" fillId="0" borderId="0" xfId="0" applyFont="1" applyBorder="1" applyAlignment="1" applyProtection="1">
      <alignment horizontal="left" vertical="top" wrapText="1" indent="1"/>
    </xf>
    <xf numFmtId="0" fontId="31" fillId="8" borderId="0" xfId="0" applyFont="1" applyFill="1" applyBorder="1" applyAlignment="1" applyProtection="1">
      <alignment horizontal="left" indent="1"/>
    </xf>
    <xf numFmtId="0" fontId="8" fillId="3" borderId="5" xfId="0" applyFont="1" applyFill="1" applyBorder="1" applyAlignment="1" applyProtection="1">
      <alignment horizontal="center" vertical="center"/>
    </xf>
    <xf numFmtId="0" fontId="8" fillId="3" borderId="6" xfId="0" applyFont="1" applyFill="1" applyBorder="1" applyAlignment="1" applyProtection="1">
      <alignment horizontal="center" vertical="center"/>
    </xf>
    <xf numFmtId="0" fontId="8" fillId="3" borderId="7" xfId="0" applyFont="1" applyFill="1" applyBorder="1" applyAlignment="1" applyProtection="1">
      <alignment horizontal="center" vertical="center"/>
    </xf>
    <xf numFmtId="0" fontId="9" fillId="0" borderId="0" xfId="0" applyFont="1" applyBorder="1" applyAlignment="1" applyProtection="1">
      <alignment horizontal="left"/>
    </xf>
    <xf numFmtId="0" fontId="0" fillId="0" borderId="3" xfId="0" applyBorder="1" applyAlignment="1" applyProtection="1">
      <alignment horizontal="left" vertical="center" wrapText="1"/>
    </xf>
    <xf numFmtId="0" fontId="0" fillId="0" borderId="0" xfId="0" applyBorder="1" applyAlignment="1" applyProtection="1">
      <alignment horizontal="left" vertical="center" wrapText="1"/>
    </xf>
    <xf numFmtId="0" fontId="2" fillId="0" borderId="0" xfId="0" applyFont="1" applyAlignment="1" applyProtection="1">
      <alignment horizontal="center" vertical="center"/>
    </xf>
    <xf numFmtId="167" fontId="22" fillId="10" borderId="0" xfId="55" applyNumberFormat="1" applyBorder="1" applyAlignment="1" applyProtection="1">
      <alignment horizontal="center" vertical="center"/>
    </xf>
    <xf numFmtId="171" fontId="0" fillId="0" borderId="0" xfId="0" applyNumberFormat="1" applyBorder="1" applyAlignment="1" applyProtection="1">
      <alignment horizontal="right" vertical="center"/>
    </xf>
    <xf numFmtId="170" fontId="0" fillId="0" borderId="0" xfId="0" applyNumberFormat="1" applyBorder="1" applyAlignment="1" applyProtection="1">
      <alignment horizontal="right" vertical="center"/>
    </xf>
    <xf numFmtId="171" fontId="0" fillId="0" borderId="8" xfId="0" applyNumberFormat="1" applyBorder="1" applyAlignment="1" applyProtection="1">
      <alignment horizontal="right" vertical="center"/>
    </xf>
    <xf numFmtId="172" fontId="0" fillId="0" borderId="0" xfId="0" applyNumberFormat="1" applyBorder="1" applyAlignment="1" applyProtection="1">
      <alignment horizontal="right" vertical="center"/>
    </xf>
    <xf numFmtId="0" fontId="0" fillId="0" borderId="8" xfId="0" applyBorder="1" applyAlignment="1" applyProtection="1">
      <alignment horizontal="left" vertical="center"/>
    </xf>
    <xf numFmtId="0" fontId="0" fillId="0" borderId="29" xfId="0" applyBorder="1" applyAlignment="1" applyProtection="1">
      <alignment horizontal="left" vertical="center"/>
    </xf>
    <xf numFmtId="0" fontId="20" fillId="0" borderId="0" xfId="0" applyFont="1" applyAlignment="1" applyProtection="1">
      <alignment horizontal="center" vertical="center" wrapText="1"/>
    </xf>
    <xf numFmtId="177" fontId="0" fillId="0" borderId="0" xfId="0" applyNumberFormat="1" applyBorder="1" applyAlignment="1" applyProtection="1">
      <alignment horizontal="right" vertical="center"/>
      <protection locked="0"/>
    </xf>
  </cellXfs>
  <cellStyles count="57">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Good" xfId="55" builtinId="26"/>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Neutral" xfId="56" builtinId="28"/>
    <cellStyle name="Normal" xfId="0" builtinId="0"/>
    <cellStyle name="Normal 2" xfId="2"/>
    <cellStyle name="Percent" xfId="1" builtinId="5"/>
  </cellStyles>
  <dxfs count="89">
    <dxf>
      <font>
        <b val="0"/>
        <i val="0"/>
        <strike val="0"/>
        <condense val="0"/>
        <extend val="0"/>
        <outline val="0"/>
        <shadow val="0"/>
        <u val="none"/>
        <vertAlign val="baseline"/>
        <sz val="6"/>
        <color auto="1"/>
        <name val="Arial"/>
        <scheme val="none"/>
      </font>
      <numFmt numFmtId="166" formatCode="0.00&quot; cm2&quot;"/>
      <fill>
        <patternFill patternType="solid">
          <fgColor indexed="64"/>
          <bgColor theme="7" tint="0.79998168889431442"/>
        </patternFill>
      </fill>
      <alignment horizontal="righ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border>
      <protection locked="1" hidden="0"/>
    </dxf>
    <dxf>
      <numFmt numFmtId="184" formatCode="0&quot; in&quot;"/>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numFmt numFmtId="184" formatCode="0&quot; in&quot;"/>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numFmt numFmtId="184" formatCode="0&quot; in&quot;"/>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numFmt numFmtId="184" formatCode="0&quot; in&quot;"/>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font>
        <b val="0"/>
        <i val="0"/>
        <strike val="0"/>
        <condense val="0"/>
        <extend val="0"/>
        <outline val="0"/>
        <shadow val="0"/>
        <u val="none"/>
        <vertAlign val="baseline"/>
        <sz val="6"/>
        <color auto="1"/>
        <name val="Arial"/>
        <scheme val="none"/>
      </font>
      <numFmt numFmtId="1" formatCode="0"/>
      <fill>
        <patternFill patternType="none">
          <fgColor indexed="64"/>
          <bgColor indexed="65"/>
        </patternFill>
      </fill>
      <alignment horizontal="left" vertical="top" textRotation="0" wrapText="1" indent="0" justifyLastLine="0" shrinkToFit="0" readingOrder="0"/>
      <border diagonalUp="0" diagonalDown="0" outline="0">
        <left style="thin">
          <color auto="1"/>
        </left>
        <right style="thin">
          <color auto="1"/>
        </right>
        <top style="hair">
          <color auto="1"/>
        </top>
        <bottom style="hair">
          <color auto="1"/>
        </bottom>
      </border>
      <protection locked="0" hidden="0"/>
    </dxf>
    <dxf>
      <font>
        <b val="0"/>
        <i val="0"/>
        <strike val="0"/>
        <condense val="0"/>
        <extend val="0"/>
        <outline val="0"/>
        <shadow val="0"/>
        <u val="none"/>
        <vertAlign val="baseline"/>
        <sz val="6"/>
        <color auto="1"/>
        <name val="Arial"/>
        <scheme val="none"/>
      </font>
      <numFmt numFmtId="165" formatCode="0.00&quot; m&quot;"/>
      <fill>
        <patternFill patternType="none">
          <fgColor indexed="64"/>
          <bgColor indexed="65"/>
        </patternFill>
      </fill>
      <alignment horizontal="left" vertical="top" textRotation="0" wrapText="1" indent="0" justifyLastLine="0" shrinkToFit="0" readingOrder="0"/>
      <border diagonalUp="0" diagonalDown="0" outline="0">
        <left style="thin">
          <color auto="1"/>
        </left>
        <right style="thin">
          <color auto="1"/>
        </right>
        <top style="dotted">
          <color theme="1" tint="0.499984740745262"/>
        </top>
        <bottom style="dotted">
          <color theme="1" tint="0.499984740745262"/>
        </bottom>
      </border>
      <protection locked="0" hidden="0"/>
    </dxf>
    <dxf>
      <font>
        <b val="0"/>
        <i val="0"/>
        <strike val="0"/>
        <condense val="0"/>
        <extend val="0"/>
        <outline val="0"/>
        <shadow val="0"/>
        <u val="none"/>
        <vertAlign val="baseline"/>
        <sz val="6"/>
        <color auto="1"/>
        <name val="Arial"/>
        <scheme val="none"/>
      </font>
      <numFmt numFmtId="164" formatCode="0.0&quot; cm&quot;"/>
      <fill>
        <patternFill patternType="none">
          <fgColor indexed="64"/>
          <bgColor indexed="65"/>
        </patternFill>
      </fill>
      <alignment horizontal="left" vertical="top" textRotation="0" wrapText="1" indent="0" justifyLastLine="0" shrinkToFit="0" readingOrder="0"/>
      <border diagonalUp="0" diagonalDown="0" outline="0">
        <left style="thin">
          <color auto="1"/>
        </left>
        <right style="thin">
          <color auto="1"/>
        </right>
        <top style="hair">
          <color auto="1"/>
        </top>
        <bottom style="hair">
          <color auto="1"/>
        </bottom>
      </border>
      <protection locked="0" hidden="0"/>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fill>
        <patternFill patternType="none">
          <bgColor auto="1"/>
        </patternFill>
      </fill>
      <border>
        <bottom/>
        <vertical/>
        <horizontal/>
      </border>
    </dxf>
    <dxf>
      <fill>
        <patternFill patternType="none">
          <bgColor auto="1"/>
        </patternFill>
      </fill>
      <border>
        <bottom/>
        <vertical/>
        <horizontal/>
      </border>
    </dxf>
    <dxf>
      <font>
        <color rgb="FFF8F8F8"/>
      </font>
    </dxf>
    <dxf>
      <font>
        <color rgb="FFF8F8F8"/>
      </font>
    </dxf>
    <dxf>
      <fill>
        <patternFill patternType="none">
          <bgColor auto="1"/>
        </patternFill>
      </fill>
      <border>
        <bottom/>
        <vertical/>
        <horizontal/>
      </border>
    </dxf>
    <dxf>
      <fill>
        <patternFill patternType="none">
          <bgColor auto="1"/>
        </patternFill>
      </fill>
      <border>
        <bottom/>
        <vertical/>
        <horizontal/>
      </border>
    </dxf>
    <dxf>
      <fill>
        <patternFill patternType="none">
          <bgColor auto="1"/>
        </patternFill>
      </fill>
      <border>
        <bottom/>
        <vertical/>
        <horizontal/>
      </border>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numFmt numFmtId="13" formatCode="0%"/>
    </dxf>
    <dxf>
      <numFmt numFmtId="165" formatCode="0.00&quot; m&quot;"/>
    </dxf>
    <dxf>
      <numFmt numFmtId="169" formatCode="0&quot; unid&quot;"/>
    </dxf>
    <dxf>
      <font>
        <b/>
        <i val="0"/>
        <strike val="0"/>
        <color rgb="FFC00000"/>
      </font>
      <numFmt numFmtId="0" formatCode="General"/>
    </dxf>
    <dxf>
      <numFmt numFmtId="181" formatCode="&quot;≈&quot;0.0&quot; cm2&quot;"/>
    </dxf>
    <dxf>
      <border>
        <top/>
        <bottom/>
        <vertical/>
        <horizontal/>
      </border>
    </dxf>
    <dxf>
      <border>
        <top/>
        <bottom style="thin">
          <color auto="1"/>
        </bottom>
        <vertical/>
        <horizontal/>
      </border>
    </dxf>
    <dxf>
      <font>
        <color theme="0"/>
      </font>
    </dxf>
    <dxf>
      <font>
        <b val="0"/>
        <i val="0"/>
        <strike val="0"/>
        <condense val="0"/>
        <extend val="0"/>
        <outline val="0"/>
        <shadow val="0"/>
        <u val="none"/>
        <vertAlign val="baseline"/>
        <sz val="6"/>
        <color auto="1"/>
        <name val="Arial"/>
        <scheme val="none"/>
      </font>
      <numFmt numFmtId="167" formatCode="0.0&quot; cm3&quot;"/>
      <fill>
        <patternFill patternType="solid">
          <fgColor indexed="64"/>
          <bgColor theme="7" tint="0.79998168889431442"/>
        </patternFill>
      </fill>
      <alignment horizontal="righ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border>
      <protection locked="1" hidden="0"/>
    </dxf>
    <dxf>
      <font>
        <b val="0"/>
        <i val="0"/>
        <strike val="0"/>
        <condense val="0"/>
        <extend val="0"/>
        <outline val="0"/>
        <shadow val="0"/>
        <u val="none"/>
        <vertAlign val="baseline"/>
        <sz val="6"/>
        <color auto="1"/>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auto="1"/>
        </left>
        <right style="thin">
          <color auto="1"/>
        </right>
        <top style="dotted">
          <color theme="1" tint="0.499984740745262"/>
        </top>
        <bottom style="dotted">
          <color theme="1" tint="0.499984740745262"/>
        </bottom>
      </border>
      <protection locked="0" hidden="0"/>
    </dxf>
    <dxf>
      <font>
        <b val="0"/>
        <i val="0"/>
        <strike val="0"/>
        <condense val="0"/>
        <extend val="0"/>
        <outline val="0"/>
        <shadow val="0"/>
        <u val="none"/>
        <vertAlign val="baseline"/>
        <sz val="6"/>
        <color auto="1"/>
        <name val="Arial"/>
        <scheme val="none"/>
      </font>
      <numFmt numFmtId="167" formatCode="0.0&quot; cm3&quot;"/>
      <fill>
        <patternFill patternType="solid">
          <fgColor indexed="64"/>
          <bgColor theme="7" tint="0.79998168889431442"/>
        </patternFill>
      </fill>
      <alignment horizontal="righ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border>
      <protection locked="1" hidden="0"/>
    </dxf>
    <dxf>
      <font>
        <b val="0"/>
        <i val="0"/>
        <strike val="0"/>
        <condense val="0"/>
        <extend val="0"/>
        <outline val="0"/>
        <shadow val="0"/>
        <u val="none"/>
        <vertAlign val="baseline"/>
        <sz val="6"/>
        <color auto="1"/>
        <name val="Arial"/>
        <scheme val="none"/>
      </font>
      <numFmt numFmtId="166" formatCode="0.00&quot; cm2&quot;"/>
      <fill>
        <patternFill patternType="solid">
          <fgColor indexed="64"/>
          <bgColor theme="7" tint="0.79998168889431442"/>
        </patternFill>
      </fill>
      <alignment horizontal="righ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border>
      <protection locked="1" hidden="0"/>
    </dxf>
    <dxf>
      <font>
        <b val="0"/>
        <i val="0"/>
        <strike val="0"/>
        <condense val="0"/>
        <extend val="0"/>
        <outline val="0"/>
        <shadow val="0"/>
        <u val="none"/>
        <vertAlign val="baseline"/>
        <sz val="6"/>
        <color auto="1"/>
        <name val="Arial"/>
        <scheme val="none"/>
      </font>
      <numFmt numFmtId="166" formatCode="0.00&quot; cm2&quot;"/>
      <fill>
        <patternFill patternType="solid">
          <fgColor indexed="64"/>
          <bgColor theme="7" tint="0.79998168889431442"/>
        </patternFill>
      </fill>
      <alignment horizontal="righ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border>
      <protection locked="1" hidden="0"/>
    </dxf>
    <dxf>
      <font>
        <b val="0"/>
        <i val="0"/>
        <strike val="0"/>
        <condense val="0"/>
        <extend val="0"/>
        <outline val="0"/>
        <shadow val="0"/>
        <u val="none"/>
        <vertAlign val="baseline"/>
        <sz val="6"/>
        <color auto="1"/>
        <name val="Arial"/>
        <scheme val="none"/>
      </font>
      <numFmt numFmtId="164" formatCode="0.0&quot; cm&quot;"/>
      <fill>
        <patternFill patternType="none">
          <fgColor indexed="64"/>
          <bgColor indexed="65"/>
        </patternFill>
      </fill>
      <alignment horizontal="left" vertical="top" textRotation="0" wrapText="1" indent="0" justifyLastLine="0" shrinkToFit="0" readingOrder="0"/>
      <border diagonalUp="0" diagonalDown="0" outline="0">
        <left style="thin">
          <color auto="1"/>
        </left>
        <right style="thin">
          <color auto="1"/>
        </right>
        <top style="hair">
          <color auto="1"/>
        </top>
        <bottom style="hair">
          <color auto="1"/>
        </bottom>
      </border>
      <protection locked="0" hidden="0"/>
    </dxf>
    <dxf>
      <font>
        <b val="0"/>
        <i val="0"/>
        <strike val="0"/>
        <condense val="0"/>
        <extend val="0"/>
        <outline val="0"/>
        <shadow val="0"/>
        <u val="none"/>
        <vertAlign val="baseline"/>
        <sz val="6"/>
        <color auto="1"/>
        <name val="Arial"/>
        <scheme val="none"/>
      </font>
      <numFmt numFmtId="1" formatCode="0"/>
      <fill>
        <patternFill patternType="none">
          <fgColor indexed="64"/>
          <bgColor indexed="65"/>
        </patternFill>
      </fill>
      <alignment horizontal="left" vertical="top" textRotation="0" wrapText="1" indent="0" justifyLastLine="0" shrinkToFit="0" readingOrder="0"/>
      <border diagonalUp="0" diagonalDown="0" outline="0">
        <left style="thin">
          <color auto="1"/>
        </left>
        <right style="thin">
          <color auto="1"/>
        </right>
        <top style="hair">
          <color auto="1"/>
        </top>
        <bottom style="hair">
          <color auto="1"/>
        </bottom>
      </border>
      <protection locked="0" hidden="0"/>
    </dxf>
    <dxf>
      <font>
        <b val="0"/>
        <i val="0"/>
        <strike val="0"/>
        <condense val="0"/>
        <extend val="0"/>
        <outline val="0"/>
        <shadow val="0"/>
        <u val="none"/>
        <vertAlign val="baseline"/>
        <sz val="6"/>
        <color auto="1"/>
        <name val="Arial"/>
        <scheme val="none"/>
      </font>
      <numFmt numFmtId="165" formatCode="0.00&quot; m&quot;"/>
      <fill>
        <patternFill patternType="none">
          <fgColor indexed="64"/>
          <bgColor indexed="65"/>
        </patternFill>
      </fill>
      <alignment horizontal="left" vertical="top" textRotation="0" wrapText="1" indent="0" justifyLastLine="0" shrinkToFit="0" readingOrder="0"/>
      <border diagonalUp="0" diagonalDown="0" outline="0">
        <left style="thin">
          <color auto="1"/>
        </left>
        <right style="thin">
          <color auto="1"/>
        </right>
        <top style="hair">
          <color auto="1"/>
        </top>
        <bottom style="hair">
          <color auto="1"/>
        </bottom>
      </border>
      <protection locked="0" hidden="0"/>
    </dxf>
    <dxf>
      <font>
        <b val="0"/>
        <i val="0"/>
        <strike val="0"/>
        <condense val="0"/>
        <extend val="0"/>
        <outline val="0"/>
        <shadow val="0"/>
        <u val="none"/>
        <vertAlign val="baseline"/>
        <sz val="6"/>
        <color auto="1"/>
        <name val="Arial"/>
        <scheme val="none"/>
      </font>
      <numFmt numFmtId="165" formatCode="0.00&quot; m&quot;"/>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auto="1"/>
        </right>
        <top style="hair">
          <color auto="1"/>
        </top>
        <bottom style="hair">
          <color auto="1"/>
        </bottom>
        <vertical/>
        <horizontal/>
      </border>
      <protection locked="0" hidden="0"/>
    </dxf>
    <dxf>
      <font>
        <b val="0"/>
        <i val="0"/>
        <strike val="0"/>
        <condense val="0"/>
        <extend val="0"/>
        <outline val="0"/>
        <shadow val="0"/>
        <u val="none"/>
        <vertAlign val="baseline"/>
        <sz val="6"/>
        <color auto="1"/>
        <name val="Arial"/>
        <scheme val="none"/>
      </font>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vertical style="thin">
          <color auto="1"/>
        </vertical>
        <horizontal style="dotted">
          <color theme="1" tint="0.499984740745262"/>
        </horizontal>
      </border>
      <protection locked="0" hidden="0"/>
    </dxf>
    <dxf>
      <font>
        <b val="0"/>
        <i val="0"/>
        <strike val="0"/>
        <condense val="0"/>
        <extend val="0"/>
        <outline val="0"/>
        <shadow val="0"/>
        <u val="none"/>
        <vertAlign val="baseline"/>
        <sz val="6"/>
        <color auto="1"/>
        <name val="Arial"/>
        <scheme val="none"/>
      </font>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auto="1"/>
        </right>
        <top style="dotted">
          <color theme="1" tint="0.499984740745262"/>
        </top>
        <bottom style="dotted">
          <color theme="1" tint="0.499984740745262"/>
        </bottom>
        <vertical style="thin">
          <color auto="1"/>
        </vertical>
        <horizontal style="dotted">
          <color theme="1" tint="0.499984740745262"/>
        </horizontal>
      </border>
      <protection locked="0" hidden="0"/>
    </dxf>
    <dxf>
      <font>
        <strike val="0"/>
        <outline val="0"/>
        <shadow val="0"/>
        <u val="none"/>
        <vertAlign val="baseline"/>
        <sz val="6"/>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7"/>
        <color theme="0"/>
        <name val="Arial"/>
        <scheme val="none"/>
      </font>
      <fill>
        <patternFill patternType="solid">
          <fgColor indexed="64"/>
          <bgColor rgb="FFD10024"/>
        </patternFill>
      </fill>
      <alignment horizontal="center" vertical="center" textRotation="0" wrapText="1" indent="0" justifyLastLine="0" shrinkToFit="0" readingOrder="0"/>
      <protection locked="1" hidden="0"/>
    </dxf>
    <dxf>
      <font>
        <color theme="0"/>
      </font>
      <fill>
        <patternFill>
          <bgColor rgb="FFD10024"/>
        </patternFill>
      </fill>
    </dxf>
    <dxf>
      <border>
        <horizontal/>
      </border>
    </dxf>
    <dxf>
      <border>
        <top style="medium">
          <color auto="1"/>
        </top>
      </border>
    </dxf>
    <dxf>
      <font>
        <color theme="0"/>
      </font>
      <fill>
        <patternFill>
          <bgColor rgb="FFD10024"/>
        </patternFill>
      </fill>
    </dxf>
    <dxf>
      <border>
        <horizontal/>
      </border>
    </dxf>
  </dxfs>
  <tableStyles count="2" defaultTableStyle="TableStyleMedium2" defaultPivotStyle="PivotStyleLight16">
    <tableStyle name="Tabla Hilti 1" pivot="0" count="3">
      <tableStyleElement type="wholeTable" dxfId="88"/>
      <tableStyleElement type="headerRow" dxfId="87"/>
      <tableStyleElement type="totalRow" dxfId="86"/>
    </tableStyle>
    <tableStyle name="Table Style 1" pivot="0" count="2">
      <tableStyleElement type="wholeTable" dxfId="85"/>
      <tableStyleElement type="headerRow" dxfId="84"/>
    </tableStyle>
  </tableStyles>
  <colors>
    <mruColors>
      <color rgb="FFD10024"/>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11</xdr:col>
      <xdr:colOff>28575</xdr:colOff>
      <xdr:row>19</xdr:row>
      <xdr:rowOff>0</xdr:rowOff>
    </xdr:from>
    <xdr:to>
      <xdr:col>12</xdr:col>
      <xdr:colOff>71204</xdr:colOff>
      <xdr:row>36</xdr:row>
      <xdr:rowOff>161925</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4257675"/>
          <a:ext cx="2423879" cy="3438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28575</xdr:colOff>
      <xdr:row>7</xdr:row>
      <xdr:rowOff>66675</xdr:rowOff>
    </xdr:from>
    <xdr:to>
      <xdr:col>31</xdr:col>
      <xdr:colOff>342900</xdr:colOff>
      <xdr:row>20</xdr:row>
      <xdr:rowOff>128587</xdr:rowOff>
    </xdr:to>
    <xdr:pic>
      <xdr:nvPicPr>
        <xdr:cNvPr id="22" name="21 Imagen"/>
        <xdr:cNvPicPr>
          <a:picLocks noChangeAspect="1"/>
        </xdr:cNvPicPr>
      </xdr:nvPicPr>
      <xdr:blipFill>
        <a:blip xmlns:r="http://schemas.openxmlformats.org/officeDocument/2006/relationships" r:embed="rId1"/>
        <a:stretch>
          <a:fillRect/>
        </a:stretch>
      </xdr:blipFill>
      <xdr:spPr>
        <a:xfrm>
          <a:off x="12592050" y="1362075"/>
          <a:ext cx="2333625" cy="2233612"/>
        </a:xfrm>
        <a:prstGeom prst="rect">
          <a:avLst/>
        </a:prstGeom>
      </xdr:spPr>
    </xdr:pic>
    <xdr:clientData/>
  </xdr:twoCellAnchor>
  <xdr:twoCellAnchor>
    <xdr:from>
      <xdr:col>27</xdr:col>
      <xdr:colOff>28575</xdr:colOff>
      <xdr:row>22</xdr:row>
      <xdr:rowOff>19050</xdr:rowOff>
    </xdr:from>
    <xdr:to>
      <xdr:col>31</xdr:col>
      <xdr:colOff>366647</xdr:colOff>
      <xdr:row>23</xdr:row>
      <xdr:rowOff>135829</xdr:rowOff>
    </xdr:to>
    <xdr:grpSp>
      <xdr:nvGrpSpPr>
        <xdr:cNvPr id="44" name="43 Grupo"/>
        <xdr:cNvGrpSpPr/>
      </xdr:nvGrpSpPr>
      <xdr:grpSpPr>
        <a:xfrm>
          <a:off x="14887575" y="3676650"/>
          <a:ext cx="2357372" cy="288229"/>
          <a:chOff x="12592050" y="3676650"/>
          <a:chExt cx="2357372" cy="278704"/>
        </a:xfrm>
      </xdr:grpSpPr>
      <xdr:pic>
        <xdr:nvPicPr>
          <xdr:cNvPr id="42" name="41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592050" y="3724275"/>
            <a:ext cx="2357372" cy="16257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3" name="1 Imagen" descr="\sum_{i=1}^{n} a_i = n \frac{a_1 + a_n}{2} \,"/>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935075" y="3676650"/>
            <a:ext cx="847725" cy="27870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id="1" name="Planilla_registro" displayName="Planilla_registro" ref="A10:O31" totalsRowShown="0" headerRowDxfId="83" dataDxfId="82">
  <autoFilter ref="A10:O31"/>
  <tableColumns count="15">
    <tableColumn id="2" name="CODIGO" dataDxfId="81"/>
    <tableColumn id="3" name="COMENTARIOS" dataDxfId="80"/>
    <tableColumn id="4" name="ITEM" dataDxfId="79"/>
    <tableColumn id="1" name="TIPO" dataDxfId="78"/>
    <tableColumn id="5" name="#" dataDxfId="77"/>
    <tableColumn id="16" name="a" dataDxfId="76"/>
    <tableColumn id="17" name="b" dataDxfId="39"/>
    <tableColumn id="6" name="c" dataDxfId="37"/>
    <tableColumn id="7" name="REGISTRO GRÁFICO" dataDxfId="38"/>
    <tableColumn id="15" name="Ag" dataDxfId="0">
      <calculatedColumnFormula>IF($A11="",
        "",
        IF(C11="Abertura_perforación",
                          IF(D11="Circular", IF(E11=0,1,E11)*PI()*(F11^2)/4,
                          IF(D11="Rectangular", IF(E11=0,1,E11)*F11*G11,
                          IF(D11="Irregular",  IF(E11=0,1,E11)*F11,
                          IF(D11="Junta con steeldeck (HW)", IF(E11=0,1,E11)*(G11+(IF(H11=0,1,IF(H11=1,2.5,IF(H11=2,Referencias!$AV$19,IF(H11=3,Referencias!$AV$34,IF(H11=4,4.5,H11)))))/100 ))*F11,
                             IF(E11=0,1,E11)*F11*G11
     )))),"-")
)</calculatedColumnFormula>
    </tableColumn>
    <tableColumn id="24" name="Ap" dataDxfId="75">
      <calculatedColumnFormula>IF($A11="",
        "",
              IF(C11="Elementos_pasantes",
               IF(IFERROR(SEARCH("bandeja",D11),0)&gt;0,              E11*F11*G11*H11,
               IF(IFERROR(SEARCH("tubería",D11),0)&gt;0,                E11*PI()*(F11^2)/4,
               IF(IFERROR(SEARCH("circular",D11),0)&gt;0,               E11*PI()*(F11^2)/4,
               IF(IFERROR(SEARCH("rectangular",D11),0)&gt;0,       E11*F11*G11,
               IF(IFERROR(SEARCH("cable",D11),0)&gt;0,                   E11*PI()*(F11^2)/4,
               IF(IFERROR(SEARCH("caja",D11),0)&gt;0,                      E11*F11*G11,
               IF( IFERROR(SEARCH("blindobarra",D11),0)&gt;0,     E11*F11*G11,
               IF( IFERROR(SEARCH("ninguno",D11),0)&gt;0,            0,
                    E11
)))))))),"-")
)</calculatedColumnFormula>
    </tableColumn>
    <tableColumn id="28" name="As_x000a_(Ag – Ap)" dataDxfId="74">
      <calculatedColumnFormula>IF($A11="",
        "",
             IF(AND(C11="Sello_cortafuego",D11&lt;&gt;""),SUMIFS($J:$J,$A:$A,$A11)-SUMIFS($K:$K,$A:$A,$A11),"-")
       )</calculatedColumnFormula>
    </tableColumn>
    <tableColumn id="29" name="SUBTOTAL" dataDxfId="73">
      <calculatedColumnFormula>IF($C11="",
        "",
             IF(AND(C11="Sello_cortafuego",D11&lt;&gt;""),
                    IF(OR($D11=Referencias!$T$23,$D11=Referencias!$T$24),1,
                    IF(OR($D11=Referencias!$T$21,$D11=Referencias!$T$22),( PI()*((F11*F11)+(2*0.48*( F11*((0+(F11-1))/2) ))) )/100,
                           F11*L11
)),"-"))</calculatedColumnFormula>
    </tableColumn>
    <tableColumn id="30" name="desp_x000a_%" dataDxfId="72" dataCellStyle="Percent"/>
    <tableColumn id="31" name="CANTIDAD_x000a_ NETA" dataDxfId="71">
      <calculatedColumnFormula>IF($C11="",
        "",
             IF(AND(C11="Sello_cortafuego",D11&lt;&gt;""),E11*M11*(1+N11),"-")
       )</calculatedColumnFormula>
    </tableColumn>
  </tableColumns>
  <tableStyleInfo name="Table Style 1"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Module">
  <a:themeElements>
    <a:clrScheme name="Module">
      <a:dk1>
        <a:sysClr val="windowText" lastClr="000000"/>
      </a:dk1>
      <a:lt1>
        <a:sysClr val="window" lastClr="FFFFFF"/>
      </a:lt1>
      <a:dk2>
        <a:srgbClr val="5A6378"/>
      </a:dk2>
      <a:lt2>
        <a:srgbClr val="D4D4D6"/>
      </a:lt2>
      <a:accent1>
        <a:srgbClr val="F0AD00"/>
      </a:accent1>
      <a:accent2>
        <a:srgbClr val="60B5CC"/>
      </a:accent2>
      <a:accent3>
        <a:srgbClr val="E66C7D"/>
      </a:accent3>
      <a:accent4>
        <a:srgbClr val="6BB76D"/>
      </a:accent4>
      <a:accent5>
        <a:srgbClr val="E88651"/>
      </a:accent5>
      <a:accent6>
        <a:srgbClr val="C64847"/>
      </a:accent6>
      <a:hlink>
        <a:srgbClr val="168BBA"/>
      </a:hlink>
      <a:folHlink>
        <a:srgbClr val="680000"/>
      </a:folHlink>
    </a:clrScheme>
    <a:fontScheme name="Module">
      <a:majorFont>
        <a:latin typeface="Arial"/>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Modul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7500"/>
                <a:satMod val="137000"/>
              </a:schemeClr>
            </a:gs>
            <a:gs pos="55000">
              <a:schemeClr val="phClr">
                <a:shade val="69000"/>
                <a:satMod val="137000"/>
              </a:schemeClr>
            </a:gs>
            <a:gs pos="100000">
              <a:schemeClr val="phClr">
                <a:shade val="98000"/>
                <a:satMod val="137000"/>
              </a:schemeClr>
            </a:gs>
          </a:gsLst>
          <a:lin ang="16200000" scaled="0"/>
        </a:gradFill>
      </a:fillStyleLst>
      <a:lnStyleLst>
        <a:ln w="6350" cap="rnd" cmpd="sng" algn="ctr">
          <a:solidFill>
            <a:schemeClr val="phClr">
              <a:shade val="95000"/>
              <a:satMod val="105000"/>
            </a:schemeClr>
          </a:solidFill>
          <a:prstDash val="solid"/>
        </a:ln>
        <a:ln w="48000" cap="flat" cmpd="thickThin" algn="ctr">
          <a:solidFill>
            <a:schemeClr val="phClr"/>
          </a:solidFill>
          <a:prstDash val="solid"/>
        </a:ln>
        <a:ln w="48500" cap="flat" cmpd="thickThin" algn="ctr">
          <a:solidFill>
            <a:schemeClr val="phClr"/>
          </a:solidFill>
          <a:prstDash val="solid"/>
        </a:ln>
      </a:lnStyleLst>
      <a:effectStyleLst>
        <a:effectStyle>
          <a:effectLst>
            <a:outerShdw blurRad="45000" dist="25000" dir="5400000" rotWithShape="0">
              <a:srgbClr val="000000">
                <a:alpha val="38000"/>
              </a:srgbClr>
            </a:outerShdw>
          </a:effectLst>
        </a:effectStyle>
        <a:effectStyle>
          <a:effectLst>
            <a:outerShdw blurRad="39000" dist="25400" dir="5400000" rotWithShape="0">
              <a:srgbClr val="000000">
                <a:alpha val="38000"/>
              </a:srgbClr>
            </a:outerShdw>
          </a:effectLst>
        </a:effectStyle>
        <a:effectStyle>
          <a:effectLst>
            <a:outerShdw blurRad="39000" dist="25400" dir="5400000" rotWithShape="0">
              <a:srgbClr val="000000">
                <a:alpha val="38000"/>
              </a:srgbClr>
            </a:outerShdw>
          </a:effectLst>
          <a:scene3d>
            <a:camera prst="orthographicFront" fov="0">
              <a:rot lat="0" lon="0" rev="0"/>
            </a:camera>
            <a:lightRig rig="threePt" dir="t">
              <a:rot lat="0" lon="0" rev="1800000"/>
            </a:lightRig>
          </a:scene3d>
          <a:sp3d prstMaterial="matte">
            <a:bevelT h="20000"/>
          </a:sp3d>
        </a:effectStyle>
      </a:effectStyleLst>
      <a:bgFillStyleLst>
        <a:solidFill>
          <a:schemeClr val="phClr"/>
        </a:solidFill>
        <a:gradFill rotWithShape="1">
          <a:gsLst>
            <a:gs pos="0">
              <a:schemeClr val="phClr">
                <a:tint val="48000"/>
                <a:satMod val="300000"/>
              </a:schemeClr>
            </a:gs>
            <a:gs pos="12000">
              <a:schemeClr val="phClr">
                <a:tint val="48000"/>
                <a:satMod val="300000"/>
              </a:schemeClr>
            </a:gs>
            <a:gs pos="20000">
              <a:schemeClr val="phClr">
                <a:tint val="49000"/>
                <a:satMod val="300000"/>
              </a:schemeClr>
            </a:gs>
            <a:gs pos="100000">
              <a:schemeClr val="phClr">
                <a:shade val="30000"/>
              </a:schemeClr>
            </a:gs>
          </a:gsLst>
          <a:path path="circle">
            <a:fillToRect l="10000" t="-25000" r="10000" b="125000"/>
          </a:path>
        </a:gradFill>
        <a:blipFill>
          <a:blip xmlns:r="http://schemas.openxmlformats.org/officeDocument/2006/relationships" r:embed="rId1">
            <a:duotone>
              <a:schemeClr val="phClr">
                <a:shade val="75000"/>
                <a:satMod val="105000"/>
              </a:schemeClr>
              <a:schemeClr val="phClr">
                <a:tint val="95000"/>
                <a:satMod val="105000"/>
              </a:schemeClr>
            </a:duotone>
          </a:blip>
          <a:tile tx="0" ty="0" sx="38000" sy="38000" flip="none" algn="tl"/>
        </a:blipFill>
      </a:bgFillStyleLst>
    </a:fmtScheme>
  </a:themeElements>
  <a:objectDefaults/>
  <a:extraClrSchemeLst/>
  <a:custClrLst>
    <a:custClr name="Hilti Red">
      <a:srgbClr val="D10024"/>
    </a:custClr>
  </a:custClr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S31"/>
  <sheetViews>
    <sheetView showGridLines="0" tabSelected="1" view="pageBreakPreview" zoomScale="130" zoomScaleNormal="100" zoomScaleSheetLayoutView="130" workbookViewId="0">
      <pane xSplit="1" ySplit="10" topLeftCell="B11" activePane="bottomRight" state="frozen"/>
      <selection activeCell="B9" sqref="B9"/>
      <selection pane="topRight" activeCell="B9" sqref="B9"/>
      <selection pane="bottomLeft" activeCell="B9" sqref="B9"/>
      <selection pane="bottomRight" activeCell="A3" sqref="A3:B3"/>
    </sheetView>
  </sheetViews>
  <sheetFormatPr defaultColWidth="9.140625" defaultRowHeight="9" customHeight="1" x14ac:dyDescent="0.15"/>
  <cols>
    <col min="1" max="1" width="8.5703125" style="82" customWidth="1"/>
    <col min="2" max="2" width="34.28515625" style="82" customWidth="1"/>
    <col min="3" max="3" width="17.140625" style="82" customWidth="1"/>
    <col min="4" max="4" width="17.140625" style="83" customWidth="1"/>
    <col min="5" max="7" width="8.5703125" style="83" customWidth="1"/>
    <col min="8" max="8" width="8.5703125" style="82" customWidth="1"/>
    <col min="9" max="9" width="21.42578125" style="82" customWidth="1"/>
    <col min="10" max="11" width="11.42578125" style="94" customWidth="1"/>
    <col min="12" max="12" width="11.42578125" style="95" customWidth="1"/>
    <col min="13" max="13" width="11.42578125" style="96" customWidth="1"/>
    <col min="14" max="14" width="5" style="100" customWidth="1"/>
    <col min="15" max="15" width="17.140625" style="96" customWidth="1"/>
    <col min="16" max="16" width="12.42578125" style="82" customWidth="1"/>
    <col min="17" max="16384" width="9.140625" style="80"/>
  </cols>
  <sheetData>
    <row r="1" spans="1:19" s="61" customFormat="1" ht="3.75" customHeight="1" thickBot="1" x14ac:dyDescent="0.25">
      <c r="J1" s="89"/>
      <c r="K1" s="89"/>
      <c r="L1" s="89"/>
      <c r="M1" s="89"/>
      <c r="N1" s="97"/>
      <c r="O1" s="89"/>
      <c r="P1" s="62"/>
      <c r="Q1" s="62"/>
      <c r="R1" s="62"/>
      <c r="S1" s="62"/>
    </row>
    <row r="2" spans="1:19" s="62" customFormat="1" ht="13.5" x14ac:dyDescent="0.25">
      <c r="A2" s="65" t="s">
        <v>93</v>
      </c>
      <c r="B2" s="66"/>
      <c r="C2" s="66"/>
      <c r="D2" s="67" t="s">
        <v>94</v>
      </c>
      <c r="E2" s="67"/>
      <c r="F2" s="67"/>
      <c r="G2" s="67"/>
      <c r="H2" s="66"/>
      <c r="I2" s="68" t="s">
        <v>95</v>
      </c>
      <c r="J2" s="89"/>
      <c r="K2" s="89"/>
      <c r="L2" s="89"/>
      <c r="M2" s="89"/>
      <c r="N2" s="97"/>
      <c r="O2" s="89"/>
    </row>
    <row r="3" spans="1:19" s="62" customFormat="1" ht="12.75" customHeight="1" x14ac:dyDescent="0.2">
      <c r="A3" s="161" t="s">
        <v>98</v>
      </c>
      <c r="B3" s="161"/>
      <c r="C3" s="146"/>
      <c r="D3" s="161" t="s">
        <v>175</v>
      </c>
      <c r="E3" s="161"/>
      <c r="F3" s="161"/>
      <c r="G3" s="161"/>
      <c r="H3" s="161"/>
      <c r="I3" s="70">
        <f ca="1">TODAY()</f>
        <v>42551</v>
      </c>
      <c r="J3" s="89"/>
      <c r="K3" s="89"/>
      <c r="L3" s="89"/>
      <c r="M3" s="89"/>
      <c r="N3" s="97"/>
      <c r="O3" s="89"/>
    </row>
    <row r="4" spans="1:19" s="62" customFormat="1" ht="13.5" customHeight="1" thickBot="1" x14ac:dyDescent="0.25">
      <c r="A4" s="160" t="s">
        <v>118</v>
      </c>
      <c r="B4" s="160"/>
      <c r="C4" s="145"/>
      <c r="D4" s="160" t="s">
        <v>99</v>
      </c>
      <c r="E4" s="160"/>
      <c r="F4" s="160"/>
      <c r="G4" s="160"/>
      <c r="H4" s="160"/>
      <c r="I4" s="71"/>
      <c r="J4" s="89"/>
      <c r="K4" s="89"/>
      <c r="L4" s="89"/>
      <c r="M4" s="89"/>
      <c r="N4" s="97"/>
      <c r="O4" s="89"/>
    </row>
    <row r="5" spans="1:19" s="62" customFormat="1" ht="12.75" customHeight="1" x14ac:dyDescent="0.25">
      <c r="A5" s="65" t="s">
        <v>96</v>
      </c>
      <c r="B5" s="66"/>
      <c r="C5" s="66"/>
      <c r="D5" s="66"/>
      <c r="E5" s="66"/>
      <c r="F5" s="66"/>
      <c r="G5" s="66"/>
      <c r="H5" s="66"/>
      <c r="I5" s="68" t="s">
        <v>97</v>
      </c>
      <c r="J5" s="89"/>
      <c r="K5" s="89"/>
      <c r="L5" s="89"/>
      <c r="M5" s="89"/>
      <c r="N5" s="97"/>
      <c r="O5" s="89"/>
    </row>
    <row r="6" spans="1:19" s="62" customFormat="1" ht="13.5" customHeight="1" thickBot="1" x14ac:dyDescent="0.25">
      <c r="A6" s="159" t="s">
        <v>100</v>
      </c>
      <c r="B6" s="159"/>
      <c r="C6" s="159"/>
      <c r="D6" s="159"/>
      <c r="E6" s="159"/>
      <c r="F6" s="159"/>
      <c r="G6" s="159"/>
      <c r="H6" s="159"/>
      <c r="I6" s="108" t="s">
        <v>101</v>
      </c>
      <c r="J6" s="89"/>
      <c r="K6" s="89"/>
      <c r="L6" s="89"/>
      <c r="M6" s="89"/>
      <c r="N6" s="97"/>
      <c r="O6" s="89"/>
    </row>
    <row r="7" spans="1:19" s="62" customFormat="1" ht="7.5" customHeight="1" x14ac:dyDescent="0.2">
      <c r="A7" s="72"/>
      <c r="B7" s="72"/>
      <c r="C7" s="72"/>
      <c r="D7" s="72"/>
      <c r="E7" s="72"/>
      <c r="F7" s="72"/>
      <c r="G7" s="72"/>
      <c r="H7" s="72"/>
      <c r="I7" s="72"/>
      <c r="J7" s="89"/>
      <c r="K7" s="89"/>
      <c r="L7" s="89"/>
      <c r="M7" s="89"/>
      <c r="N7" s="97"/>
      <c r="O7" s="89"/>
    </row>
    <row r="8" spans="1:19" s="62" customFormat="1" ht="12.75" x14ac:dyDescent="0.2">
      <c r="A8" s="72"/>
      <c r="B8" s="72"/>
      <c r="C8" s="72"/>
      <c r="D8" s="72"/>
      <c r="E8" s="72"/>
      <c r="F8" s="72"/>
      <c r="G8" s="72"/>
      <c r="H8" s="72"/>
      <c r="I8" s="72"/>
      <c r="J8" s="89"/>
      <c r="K8" s="89"/>
      <c r="L8" s="89"/>
      <c r="M8" s="89"/>
      <c r="N8" s="97"/>
      <c r="O8" s="89"/>
    </row>
    <row r="9" spans="1:19" s="77" customFormat="1" ht="11.25" x14ac:dyDescent="0.2">
      <c r="C9" s="158" t="s">
        <v>152</v>
      </c>
      <c r="D9" s="158"/>
      <c r="E9" s="158"/>
      <c r="F9" s="158"/>
      <c r="G9" s="158"/>
      <c r="H9" s="158"/>
      <c r="J9" s="101" t="s">
        <v>109</v>
      </c>
      <c r="K9" s="102"/>
      <c r="L9" s="102"/>
      <c r="M9" s="102"/>
      <c r="N9" s="102"/>
      <c r="O9" s="103"/>
    </row>
    <row r="10" spans="1:19" s="63" customFormat="1" ht="22.5" customHeight="1" x14ac:dyDescent="0.2">
      <c r="A10" s="78" t="s">
        <v>0</v>
      </c>
      <c r="B10" s="78" t="s">
        <v>3</v>
      </c>
      <c r="C10" s="78" t="s">
        <v>151</v>
      </c>
      <c r="D10" s="78" t="s">
        <v>92</v>
      </c>
      <c r="E10" s="78" t="s">
        <v>2</v>
      </c>
      <c r="F10" s="78" t="s">
        <v>106</v>
      </c>
      <c r="G10" s="78" t="s">
        <v>107</v>
      </c>
      <c r="H10" s="78" t="s">
        <v>167</v>
      </c>
      <c r="I10" s="78" t="s">
        <v>89</v>
      </c>
      <c r="J10" s="105" t="s">
        <v>169</v>
      </c>
      <c r="K10" s="105" t="s">
        <v>168</v>
      </c>
      <c r="L10" s="105" t="s">
        <v>170</v>
      </c>
      <c r="M10" s="104" t="s">
        <v>171</v>
      </c>
      <c r="N10" s="106" t="s">
        <v>90</v>
      </c>
      <c r="O10" s="107" t="s">
        <v>91</v>
      </c>
    </row>
    <row r="11" spans="1:19" ht="8.25" x14ac:dyDescent="0.2">
      <c r="A11" s="85"/>
      <c r="B11" s="86" t="s">
        <v>110</v>
      </c>
      <c r="C11" s="85"/>
      <c r="D11" s="85"/>
      <c r="E11" s="88"/>
      <c r="F11" s="87"/>
      <c r="G11" s="87"/>
      <c r="H11" s="88"/>
      <c r="I11" s="86"/>
      <c r="J11" s="90" t="str">
        <f>IF($A11="",
        "",
        IF(C11="Abertura_perforación",
                          IF(D11="Circular", IF(E11=0,1,E11)*PI()*(F11^2)/4,
                          IF(D11="Rectangular", IF(E11=0,1,E11)*F11*G11,
                          IF(D11="Irregular",  IF(E11=0,1,E11)*F11,
                          IF(D11="Junta con steeldeck (HW)", IF(E11=0,1,E11)*(G11+(IF(H11=0,1,IF(H11=1,2.5,IF(H11=2,Referencias!$AV$19,IF(H11=3,Referencias!$AV$34,IF(H11=4,4.5,H11)))))/100 ))*F11,
                             IF(E11=0,1,E11)*F11*G11
     )))),"-")
)</f>
        <v/>
      </c>
      <c r="K11" s="90" t="str">
        <f>IF($A11="",
        "",
              IF(C11="Elementos_pasantes",
               IF(IFERROR(SEARCH("bandeja",D11),0)&gt;0,              E11*F11*G11*H11,
               IF(IFERROR(SEARCH("tubería",D11),0)&gt;0,                E11*PI()*(F11^2)/4,
               IF(IFERROR(SEARCH("circular",D11),0)&gt;0,               E11*PI()*(F11^2)/4,
               IF(IFERROR(SEARCH("rectangular",D11),0)&gt;0,       E11*F11*G11,
               IF(IFERROR(SEARCH("cable",D11),0)&gt;0,                   E11*PI()*(F11^2)/4,
               IF(IFERROR(SEARCH("caja",D11),0)&gt;0,                      E11*F11*G11,
               IF( IFERROR(SEARCH("blindobarra",D11),0)&gt;0,     E11*F11*G11,
               IF( IFERROR(SEARCH("ninguno",D11),0)&gt;0,            0,
                    E11
)))))))),"-")
)</f>
        <v/>
      </c>
      <c r="L11" s="90" t="str">
        <f>IF($A11="",
        "",
             IF(AND(C11="Sello_cortafuego",D11&lt;&gt;""),SUMIFS($J:$J,$A:$A,$A11)-SUMIFS($K:$K,$A:$A,$A11),"-")
       )</f>
        <v/>
      </c>
      <c r="M11" s="91" t="str">
        <f>IF($C11="",
        "",
             IF(AND(C11="Sello_cortafuego",D11&lt;&gt;""),
                    IF(OR($D11=Referencias!$T$23,$D11=Referencias!$T$24),1,
                    IF(OR($D11=Referencias!$T$21,$D11=Referencias!$T$22),( PI()*((F11*F11)+(2*0.48*( F11*((0+(F11-1))/2) ))) )/100,
                           F11*L11
)),"-"))</f>
        <v/>
      </c>
      <c r="N11" s="98"/>
      <c r="O11" s="91" t="str">
        <f t="shared" ref="O11:O31" si="0">IF($C11="",
        "",
             IF(AND(C11="Sello_cortafuego",D11&lt;&gt;""),E11*M11*(1+N11),"-")
       )</f>
        <v/>
      </c>
      <c r="P11" s="80"/>
    </row>
    <row r="12" spans="1:19" ht="49.5" x14ac:dyDescent="0.2">
      <c r="A12" s="109" t="s">
        <v>112</v>
      </c>
      <c r="B12" s="110" t="s">
        <v>172</v>
      </c>
      <c r="C12" s="109" t="s">
        <v>154</v>
      </c>
      <c r="D12" s="109" t="s">
        <v>165</v>
      </c>
      <c r="E12" s="112"/>
      <c r="F12" s="111">
        <v>15</v>
      </c>
      <c r="G12" s="111"/>
      <c r="H12" s="112"/>
      <c r="I12" s="110" t="s">
        <v>117</v>
      </c>
      <c r="J12" s="92" t="str">
        <f>IF($A12="",
        "",
        IF(C12="Abertura_perforación",
                          IF(D12="Circular", IF(E12=0,1,E12)*PI()*(F12^2)/4,
                          IF(D12="Rectangular", IF(E12=0,1,E12)*F12*G12,
                          IF(D12="Irregular",  IF(E12=0,1,E12)*F12,
                          IF(D12="Junta con steeldeck (HW)", IF(E12=0,1,E12)*(G12+(IF(H12=0,1,IF(H12=1,2.5,IF(H12=2,Referencias!$AV$19,IF(H12=3,Referencias!$AV$34,IF(H12=4,4.5,H12)))))/100 ))*F12,
                             IF(E12=0,1,E12)*F12*G12
     )))),"-")
)</f>
        <v>-</v>
      </c>
      <c r="K12" s="92" t="str">
        <f t="shared" ref="K11:K31" si="1">IF($A12="",
        "",
              IF(C12="Elementos_pasantes",
               IF(IFERROR(SEARCH("bandeja",D12),0)&gt;0,              E12*F12*G12*H12,
               IF(IFERROR(SEARCH("tubería",D12),0)&gt;0,                E12*PI()*(F12^2)/4,
               IF(IFERROR(SEARCH("circular",D12),0)&gt;0,               E12*PI()*(F12^2)/4,
               IF(IFERROR(SEARCH("rectangular",D12),0)&gt;0,       E12*F12*G12,
               IF(IFERROR(SEARCH("cable",D12),0)&gt;0,                   E12*PI()*(F12^2)/4,
               IF(IFERROR(SEARCH("caja",D12),0)&gt;0,                      E12*F12*G12,
               IF( IFERROR(SEARCH("blindobarra",D12),0)&gt;0,     E12*F12*G12,
               IF( IFERROR(SEARCH("ninguno",D12),0)&gt;0,            0,
                    E12
)))))))),"-")
)</f>
        <v>-</v>
      </c>
      <c r="L12" s="92" t="str">
        <f t="shared" ref="L11:L31" si="2">IF($A12="",
        "",
             IF(AND(C12="Sello_cortafuego",D12&lt;&gt;""),SUMIFS($J:$J,$A:$A,$A12)-SUMIFS($K:$K,$A:$A,$A12),"-")
       )</f>
        <v>-</v>
      </c>
      <c r="M12" s="93" t="str">
        <f>IF($C12="",
        "",
             IF(AND(C12="Sello_cortafuego",D12&lt;&gt;""),
                    IF(OR($D12=Referencias!$T$23,$D12=Referencias!$T$24),1,
                    IF(OR($D12=Referencias!$T$21,$D12=Referencias!$T$22),( PI()*((F12*F12)+(2*0.48*( F12*((0+(F12-1))/2) ))) )/100,
                           F12*L12
)),"-"))</f>
        <v>-</v>
      </c>
      <c r="N12" s="99"/>
      <c r="O12" s="93" t="str">
        <f t="shared" si="0"/>
        <v>-</v>
      </c>
      <c r="P12" s="80"/>
    </row>
    <row r="13" spans="1:19" ht="49.5" x14ac:dyDescent="0.2">
      <c r="A13" s="109" t="str">
        <f>A12</f>
        <v>por ejemplo:
SP-001, pases
SJ-015, juntas
SF-35, fachada</v>
      </c>
      <c r="B13" s="110" t="s">
        <v>173</v>
      </c>
      <c r="C13" s="109" t="s">
        <v>163</v>
      </c>
      <c r="D13" s="109" t="s">
        <v>186</v>
      </c>
      <c r="E13" s="112"/>
      <c r="F13" s="111">
        <v>10</v>
      </c>
      <c r="G13" s="111">
        <v>1</v>
      </c>
      <c r="H13" s="112">
        <v>2</v>
      </c>
      <c r="I13" s="110" t="s">
        <v>166</v>
      </c>
      <c r="J13" s="92">
        <f>IF($A13="",
        "",
        IF(C13="Abertura_perforación",
                          IF(D13="Circular", IF(E13=0,1,E13)*PI()*(F13^2)/4,
                          IF(D13="Rectangular", IF(E13=0,1,E13)*F13*G13,
                          IF(D13="Irregular",  IF(E13=0,1,E13)*F13,
                          IF(D13="Junta con steeldeck (HW)", IF(E13=0,1,E13)*(G13+(IF(H13=0,1,IF(H13=1,2.5,IF(H13=2,Referencias!$AV$19,IF(H13=3,Referencias!$AV$34,IF(H13=4,4.5,H13)))))/100 ))*F13,
                             IF(E13=0,1,E13)*F13*G13
     )))),"-")
)</f>
        <v>38.5</v>
      </c>
      <c r="K13" s="92" t="str">
        <f t="shared" si="1"/>
        <v>-</v>
      </c>
      <c r="L13" s="92" t="str">
        <f t="shared" si="2"/>
        <v>-</v>
      </c>
      <c r="M13" s="93" t="str">
        <f>IF($C13="",
        "",
             IF(AND(C13="Sello_cortafuego",D13&lt;&gt;""),
                    IF(OR($D13=Referencias!$T$23,$D13=Referencias!$T$24),1,
                    IF(OR($D13=Referencias!$T$21,$D13=Referencias!$T$22),( PI()*((F13*F13)+(2*0.48*( F13*((0+(F13-1))/2) ))) )/100,
                           F13*L13
)),"-"))</f>
        <v>-</v>
      </c>
      <c r="N13" s="99"/>
      <c r="O13" s="93" t="str">
        <f t="shared" si="0"/>
        <v>-</v>
      </c>
      <c r="P13" s="80"/>
    </row>
    <row r="14" spans="1:19" ht="57.75" x14ac:dyDescent="0.2">
      <c r="A14" s="109" t="str">
        <f>A13</f>
        <v>por ejemplo:
SP-001, pases
SJ-015, juntas
SF-35, fachada</v>
      </c>
      <c r="B14" s="110" t="s">
        <v>174</v>
      </c>
      <c r="C14" s="109" t="s">
        <v>155</v>
      </c>
      <c r="D14" s="109" t="s">
        <v>85</v>
      </c>
      <c r="E14" s="112">
        <v>1</v>
      </c>
      <c r="F14" s="111">
        <v>1</v>
      </c>
      <c r="G14" s="111">
        <v>0</v>
      </c>
      <c r="H14" s="112">
        <v>0.15</v>
      </c>
      <c r="I14" s="110"/>
      <c r="J14" s="92" t="str">
        <f>IF($A14="",
        "",
        IF(C14="Abertura_perforación",
                          IF(D14="Circular", IF(E14=0,1,E14)*PI()*(F14^2)/4,
                          IF(D14="Rectangular", IF(E14=0,1,E14)*F14*G14,
                          IF(D14="Irregular",  IF(E14=0,1,E14)*F14,
                          IF(D14="Junta con steeldeck (HW)", IF(E14=0,1,E14)*(G14+(IF(H14=0,1,IF(H14=1,2.5,IF(H14=2,Referencias!$AV$19,IF(H14=3,Referencias!$AV$34,IF(H14=4,4.5,H14)))))/100 ))*F14,
                             IF(E14=0,1,E14)*F14*G14
     )))),"-")
)</f>
        <v>-</v>
      </c>
      <c r="K14" s="92">
        <f t="shared" si="1"/>
        <v>0</v>
      </c>
      <c r="L14" s="92" t="str">
        <f t="shared" si="2"/>
        <v>-</v>
      </c>
      <c r="M14" s="93" t="str">
        <f>IF($C14="",
        "",
             IF(AND(C14="Sello_cortafuego",D14&lt;&gt;""),
                    IF(OR($D14=Referencias!$T$23,$D14=Referencias!$T$24),1,
                    IF(OR($D14=Referencias!$T$21,$D14=Referencias!$T$22),( PI()*((F14*F14)+(2*0.48*( F14*((0+(F14-1))/2) ))) )/100,
                           F14*L14
)),"-"))</f>
        <v>-</v>
      </c>
      <c r="N14" s="99"/>
      <c r="O14" s="93" t="str">
        <f t="shared" si="0"/>
        <v>-</v>
      </c>
      <c r="P14" s="80"/>
    </row>
    <row r="15" spans="1:19" ht="9" customHeight="1" x14ac:dyDescent="0.2">
      <c r="A15" s="109" t="str">
        <f>A14</f>
        <v>por ejemplo:
SP-001, pases
SJ-015, juntas
SF-35, fachada</v>
      </c>
      <c r="B15" s="110"/>
      <c r="C15" s="109" t="s">
        <v>156</v>
      </c>
      <c r="D15" s="109" t="s">
        <v>120</v>
      </c>
      <c r="E15" s="112">
        <v>1</v>
      </c>
      <c r="F15" s="111">
        <v>1</v>
      </c>
      <c r="G15" s="111"/>
      <c r="H15" s="112"/>
      <c r="I15" s="110"/>
      <c r="J15" s="92" t="str">
        <f>IF($A15="",
        "",
        IF(C15="Abertura_perforación",
                          IF(D15="Circular", IF(E15=0,1,E15)*PI()*(F15^2)/4,
                          IF(D15="Rectangular", IF(E15=0,1,E15)*F15*G15,
                          IF(D15="Irregular",  IF(E15=0,1,E15)*F15,
                          IF(D15="Junta con steeldeck (HW)", IF(E15=0,1,E15)*(G15+(IF(H15=0,1,IF(H15=1,2.5,IF(H15=2,Referencias!$AV$19,IF(H15=3,Referencias!$AV$34,IF(H15=4,4.5,H15)))))/100 ))*F15,
                             IF(E15=0,1,E15)*F15*G15
     )))),"-")
)</f>
        <v>-</v>
      </c>
      <c r="K15" s="92" t="str">
        <f t="shared" si="1"/>
        <v>-</v>
      </c>
      <c r="L15" s="92">
        <f t="shared" si="2"/>
        <v>38.5</v>
      </c>
      <c r="M15" s="93">
        <f>IF($C15="",
        "",
             IF(AND(C15="Sello_cortafuego",D15&lt;&gt;""),
                    IF(OR($D15=Referencias!$T$23,$D15=Referencias!$T$24),1,
                    IF(OR($D15=Referencias!$T$21,$D15=Referencias!$T$22),( PI()*((F15*F15)+(2*0.48*( F15*((0+(F15-1))/2) ))) )/100,
                           F15*L15
)),"-"))</f>
        <v>38.5</v>
      </c>
      <c r="N15" s="99">
        <v>1</v>
      </c>
      <c r="O15" s="93">
        <f t="shared" si="0"/>
        <v>77</v>
      </c>
      <c r="P15" s="81"/>
    </row>
    <row r="16" spans="1:19" ht="9" customHeight="1" x14ac:dyDescent="0.2">
      <c r="A16" s="109" t="str">
        <f>A15</f>
        <v>por ejemplo:
SP-001, pases
SJ-015, juntas
SF-35, fachada</v>
      </c>
      <c r="B16" s="110"/>
      <c r="C16" s="109"/>
      <c r="D16" s="109"/>
      <c r="E16" s="112"/>
      <c r="F16" s="111"/>
      <c r="G16" s="111"/>
      <c r="H16" s="112"/>
      <c r="I16" s="110"/>
      <c r="J16" s="92" t="str">
        <f>IF($A16="",
        "",
        IF(C16="Abertura_perforación",
                          IF(D16="Circular", IF(E16=0,1,E16)*PI()*(F16^2)/4,
                          IF(D16="Rectangular", IF(E16=0,1,E16)*F16*G16,
                          IF(D16="Irregular",  IF(E16=0,1,E16)*F16,
                          IF(D16="Junta con steeldeck (HW)", IF(E16=0,1,E16)*(G16+(IF(H16=0,1,IF(H16=1,2.5,IF(H16=2,Referencias!$AV$19,IF(H16=3,Referencias!$AV$34,IF(H16=4,4.5,H16)))))/100 ))*F16,
                             IF(E16=0,1,E16)*F16*G16
     )))),"-")
)</f>
        <v>-</v>
      </c>
      <c r="K16" s="92" t="str">
        <f t="shared" si="1"/>
        <v>-</v>
      </c>
      <c r="L16" s="92" t="str">
        <f t="shared" si="2"/>
        <v>-</v>
      </c>
      <c r="M16" s="93" t="str">
        <f>IF($C16="",
        "",
             IF(AND(C16="Sello_cortafuego",D16&lt;&gt;""),
                    IF(OR($D16=Referencias!$T$23,$D16=Referencias!$T$24),1,
                    IF(OR($D16=Referencias!$T$21,$D16=Referencias!$T$22),( PI()*((F16*F16)+(2*0.48*( F16*((0+(F16-1))/2) ))) )/100,
                           F16*L16
)),"-"))</f>
        <v/>
      </c>
      <c r="N16" s="99"/>
      <c r="O16" s="93" t="str">
        <f t="shared" si="0"/>
        <v/>
      </c>
      <c r="P16" s="80"/>
    </row>
    <row r="17" spans="1:16" ht="8.25" x14ac:dyDescent="0.2">
      <c r="A17" s="109"/>
      <c r="B17" s="110"/>
      <c r="C17" s="109"/>
      <c r="D17" s="109"/>
      <c r="E17" s="112"/>
      <c r="F17" s="111"/>
      <c r="G17" s="111"/>
      <c r="H17" s="112"/>
      <c r="I17" s="110"/>
      <c r="J17" s="92" t="str">
        <f>IF($A17="",
        "",
        IF(C17="Abertura_perforación",
                          IF(D17="Circular", IF(E17=0,1,E17)*PI()*(F17^2)/4,
                          IF(D17="Rectangular", IF(E17=0,1,E17)*F17*G17,
                          IF(D17="Irregular",  IF(E17=0,1,E17)*F17,
                          IF(D17="Junta con steeldeck (HW)", IF(E17=0,1,E17)*(G17+(IF(H17=0,1,IF(H17=1,2.5,IF(H17=2,Referencias!$AV$19,IF(H17=3,Referencias!$AV$34,IF(H17=4,4.5,H17)))))/100 ))*F17,
                             IF(E17=0,1,E17)*F17*G17
     )))),"-")
)</f>
        <v/>
      </c>
      <c r="K17" s="92" t="str">
        <f t="shared" si="1"/>
        <v/>
      </c>
      <c r="L17" s="92" t="str">
        <f t="shared" si="2"/>
        <v/>
      </c>
      <c r="M17" s="93" t="str">
        <f>IF($C17="",
        "",
             IF(AND(C17="Sello_cortafuego",D17&lt;&gt;""),
                    IF(OR($D17=Referencias!$T$23,$D17=Referencias!$T$24),1,
                    IF(OR($D17=Referencias!$T$21,$D17=Referencias!$T$22),( PI()*((F17*F17)+(2*0.48*( F17*((0+(F17-1))/2) ))) )/100,
                           F17*L17
)),"-"))</f>
        <v/>
      </c>
      <c r="N17" s="99"/>
      <c r="O17" s="93" t="str">
        <f t="shared" si="0"/>
        <v/>
      </c>
      <c r="P17" s="80"/>
    </row>
    <row r="18" spans="1:16" ht="8.25" x14ac:dyDescent="0.2">
      <c r="A18" s="109"/>
      <c r="B18" s="110" t="s">
        <v>111</v>
      </c>
      <c r="C18" s="109"/>
      <c r="D18" s="109"/>
      <c r="E18" s="112"/>
      <c r="F18" s="111"/>
      <c r="G18" s="111"/>
      <c r="H18" s="112"/>
      <c r="I18" s="110"/>
      <c r="J18" s="92" t="str">
        <f>IF($A18="",
        "",
        IF(C18="Abertura_perforación",
                          IF(D18="Circular", IF(E18=0,1,E18)*PI()*(F18^2)/4,
                          IF(D18="Rectangular", IF(E18=0,1,E18)*F18*G18,
                          IF(D18="Irregular",  IF(E18=0,1,E18)*F18,
                          IF(D18="Junta con steeldeck (HW)", IF(E18=0,1,E18)*(G18+(IF(H18=0,1,IF(H18=1,2.5,IF(H18=2,Referencias!$AV$19,IF(H18=3,Referencias!$AV$34,IF(H18=4,4.5,H18)))))/100 ))*F18,
                             IF(E18=0,1,E18)*F18*G18
     )))),"-")
)</f>
        <v/>
      </c>
      <c r="K18" s="92" t="str">
        <f t="shared" si="1"/>
        <v/>
      </c>
      <c r="L18" s="92" t="str">
        <f t="shared" si="2"/>
        <v/>
      </c>
      <c r="M18" s="93" t="str">
        <f>IF($C18="",
        "",
             IF(AND(C18="Sello_cortafuego",D18&lt;&gt;""),
                    IF(OR($D18=Referencias!$T$23,$D18=Referencias!$T$24),1,
                    IF(OR($D18=Referencias!$T$21,$D18=Referencias!$T$22),( PI()*((F18*F18)+(2*0.48*( F18*((0+(F18-1))/2) ))) )/100,
                           F18*L18
)),"-"))</f>
        <v/>
      </c>
      <c r="N18" s="99"/>
      <c r="O18" s="93" t="str">
        <f t="shared" si="0"/>
        <v/>
      </c>
      <c r="P18" s="80"/>
    </row>
    <row r="19" spans="1:16" ht="33" x14ac:dyDescent="0.2">
      <c r="A19" s="109"/>
      <c r="B19" s="110" t="s">
        <v>119</v>
      </c>
      <c r="C19" s="109"/>
      <c r="D19" s="109"/>
      <c r="E19" s="112"/>
      <c r="F19" s="111"/>
      <c r="G19" s="111"/>
      <c r="H19" s="112"/>
      <c r="I19" s="110"/>
      <c r="J19" s="92" t="str">
        <f>IF($A19="",
        "",
        IF(C19="Abertura_perforación",
                          IF(D19="Circular", IF(E19=0,1,E19)*PI()*(F19^2)/4,
                          IF(D19="Rectangular", IF(E19=0,1,E19)*F19*G19,
                          IF(D19="Irregular",  IF(E19=0,1,E19)*F19,
                          IF(D19="Junta con steeldeck (HW)", IF(E19=0,1,E19)*(G19+(IF(H19=0,1,IF(H19=1,2.5,IF(H19=2,Referencias!$AV$19,IF(H19=3,Referencias!$AV$34,IF(H19=4,4.5,H19)))))/100 ))*F19,
                             IF(E19=0,1,E19)*F19*G19
     )))),"-")
)</f>
        <v/>
      </c>
      <c r="K19" s="92" t="str">
        <f t="shared" si="1"/>
        <v/>
      </c>
      <c r="L19" s="92" t="str">
        <f t="shared" si="2"/>
        <v/>
      </c>
      <c r="M19" s="93" t="str">
        <f>IF($C19="",
        "",
             IF(AND(C19="Sello_cortafuego",D19&lt;&gt;""),
                    IF(OR($D19=Referencias!$T$23,$D19=Referencias!$T$24),1,
                    IF(OR($D19=Referencias!$T$21,$D19=Referencias!$T$22),( PI()*((F19*F19)+(2*0.48*( F19*((0+(F19-1))/2) ))) )/100,
                           F19*L19
)),"-"))</f>
        <v/>
      </c>
      <c r="N19" s="99"/>
      <c r="O19" s="93" t="str">
        <f t="shared" si="0"/>
        <v/>
      </c>
      <c r="P19" s="80"/>
    </row>
    <row r="20" spans="1:16" ht="8.25" x14ac:dyDescent="0.2">
      <c r="A20" s="109"/>
      <c r="B20" s="110" t="s">
        <v>115</v>
      </c>
      <c r="C20" s="109"/>
      <c r="D20" s="109"/>
      <c r="E20" s="112"/>
      <c r="F20" s="111"/>
      <c r="G20" s="111"/>
      <c r="H20" s="112"/>
      <c r="I20" s="110"/>
      <c r="J20" s="92" t="str">
        <f>IF($A20="",
        "",
        IF(C20="Abertura_perforación",
                          IF(D20="Circular", IF(E20=0,1,E20)*PI()*(F20^2)/4,
                          IF(D20="Rectangular", IF(E20=0,1,E20)*F20*G20,
                          IF(D20="Irregular",  IF(E20=0,1,E20)*F20,
                          IF(D20="Junta con steeldeck (HW)", IF(E20=0,1,E20)*(G20+(IF(H20=0,1,IF(H20=1,2.5,IF(H20=2,Referencias!$AV$19,IF(H20=3,Referencias!$AV$34,IF(H20=4,4.5,H20)))))/100 ))*F20,
                             IF(E20=0,1,E20)*F20*G20
     )))),"-")
)</f>
        <v/>
      </c>
      <c r="K20" s="92" t="str">
        <f t="shared" si="1"/>
        <v/>
      </c>
      <c r="L20" s="92" t="str">
        <f t="shared" si="2"/>
        <v/>
      </c>
      <c r="M20" s="93" t="str">
        <f>IF($C20="",
        "",
             IF(AND(C20="Sello_cortafuego",D20&lt;&gt;""),
                    IF(OR($D20=Referencias!$T$23,$D20=Referencias!$T$24),1,
                    IF(OR($D20=Referencias!$T$21,$D20=Referencias!$T$22),( PI()*((F20*F20)+(2*0.48*( F20*((0+(F20-1))/2) ))) )/100,
                           F20*L20
)),"-"))</f>
        <v/>
      </c>
      <c r="N20" s="99"/>
      <c r="O20" s="93" t="str">
        <f t="shared" si="0"/>
        <v/>
      </c>
      <c r="P20" s="80"/>
    </row>
    <row r="21" spans="1:16" ht="41.25" x14ac:dyDescent="0.2">
      <c r="A21" s="109"/>
      <c r="B21" s="110" t="s">
        <v>189</v>
      </c>
      <c r="C21" s="109"/>
      <c r="D21" s="109"/>
      <c r="E21" s="112"/>
      <c r="F21" s="111">
        <v>0</v>
      </c>
      <c r="G21" s="111">
        <v>0</v>
      </c>
      <c r="H21" s="112">
        <v>0</v>
      </c>
      <c r="I21" s="110"/>
      <c r="J21" s="92" t="str">
        <f>IF($A21="",
        "",
        IF(C21="Abertura_perforación",
                          IF(D21="Circular", IF(E21=0,1,E21)*PI()*(F21^2)/4,
                          IF(D21="Rectangular", IF(E21=0,1,E21)*F21*G21,
                          IF(D21="Irregular",  IF(E21=0,1,E21)*F21,
                          IF(D21="Junta con steeldeck (HW)", IF(E21=0,1,E21)*(G21+(IF(H21=0,1,IF(H21=1,2.5,IF(H21=2,Referencias!$AV$19,IF(H21=3,Referencias!$AV$34,IF(H21=4,4.5,H21)))))/100 ))*F21,
                             IF(E21=0,1,E21)*F21*G21
     )))),"-")
)</f>
        <v/>
      </c>
      <c r="K21" s="92" t="str">
        <f t="shared" si="1"/>
        <v/>
      </c>
      <c r="L21" s="92" t="str">
        <f t="shared" si="2"/>
        <v/>
      </c>
      <c r="M21" s="93" t="str">
        <f>IF($C21="",
        "",
             IF(AND(C21="Sello_cortafuego",D21&lt;&gt;""),
                    IF(OR($D21=Referencias!$T$23,$D21=Referencias!$T$24),1,
                    IF(OR($D21=Referencias!$T$21,$D21=Referencias!$T$22),( PI()*((F21*F21)+(2*0.48*( F21*((0+(F21-1))/2) ))) )/100,
                           F21*L21
)),"-"))</f>
        <v/>
      </c>
      <c r="N21" s="99"/>
      <c r="O21" s="93" t="str">
        <f t="shared" si="0"/>
        <v/>
      </c>
      <c r="P21" s="80"/>
    </row>
    <row r="22" spans="1:16" ht="33" x14ac:dyDescent="0.2">
      <c r="A22" s="109"/>
      <c r="B22" s="110" t="s">
        <v>113</v>
      </c>
      <c r="C22" s="109"/>
      <c r="D22" s="109"/>
      <c r="E22" s="112"/>
      <c r="F22" s="111"/>
      <c r="G22" s="111"/>
      <c r="H22" s="112"/>
      <c r="I22" s="110"/>
      <c r="J22" s="92" t="str">
        <f>IF($A22="",
        "",
        IF(C22="Abertura_perforación",
                          IF(D22="Circular", IF(E22=0,1,E22)*PI()*(F22^2)/4,
                          IF(D22="Rectangular", IF(E22=0,1,E22)*F22*G22,
                          IF(D22="Irregular",  IF(E22=0,1,E22)*F22,
                          IF(D22="Junta con steeldeck (HW)", IF(E22=0,1,E22)*(G22+(IF(H22=0,1,IF(H22=1,2.5,IF(H22=2,Referencias!$AV$19,IF(H22=3,Referencias!$AV$34,IF(H22=4,4.5,H22)))))/100 ))*F22,
                             IF(E22=0,1,E22)*F22*G22
     )))),"-")
)</f>
        <v/>
      </c>
      <c r="K22" s="92" t="str">
        <f t="shared" si="1"/>
        <v/>
      </c>
      <c r="L22" s="92" t="str">
        <f t="shared" si="2"/>
        <v/>
      </c>
      <c r="M22" s="93" t="str">
        <f>IF($C22="",
        "",
             IF(AND(C22="Sello_cortafuego",D22&lt;&gt;""),
                    IF(OR($D22=Referencias!$T$23,$D22=Referencias!$T$24),1,
                    IF(OR($D22=Referencias!$T$21,$D22=Referencias!$T$22),( PI()*((F22*F22)+(2*0.48*( F22*((0+(F22-1))/2) ))) )/100,
                           F22*L22
)),"-"))</f>
        <v/>
      </c>
      <c r="N22" s="99"/>
      <c r="O22" s="93" t="str">
        <f t="shared" si="0"/>
        <v/>
      </c>
      <c r="P22" s="80"/>
    </row>
    <row r="23" spans="1:16" ht="8.25" x14ac:dyDescent="0.2">
      <c r="A23" s="109"/>
      <c r="B23" s="110" t="s">
        <v>191</v>
      </c>
      <c r="C23" s="109"/>
      <c r="D23" s="109"/>
      <c r="E23" s="112"/>
      <c r="F23" s="111"/>
      <c r="G23" s="111"/>
      <c r="H23" s="112"/>
      <c r="I23" s="110"/>
      <c r="J23" s="92" t="str">
        <f>IF($A23="",
        "",
        IF(C23="Abertura_perforación",
                          IF(D23="Circular", IF(E23=0,1,E23)*PI()*(F23^2)/4,
                          IF(D23="Rectangular", IF(E23=0,1,E23)*F23*G23,
                          IF(D23="Irregular",  IF(E23=0,1,E23)*F23,
                          IF(D23="Junta con steeldeck (HW)", IF(E23=0,1,E23)*(G23+(IF(H23=0,1,IF(H23=1,2.5,IF(H23=2,Referencias!$AV$19,IF(H23=3,Referencias!$AV$34,IF(H23=4,4.5,H23)))))/100 ))*F23,
                             IF(E23=0,1,E23)*F23*G23
     )))),"-")
)</f>
        <v/>
      </c>
      <c r="K23" s="92" t="str">
        <f t="shared" si="1"/>
        <v/>
      </c>
      <c r="L23" s="92" t="str">
        <f t="shared" si="2"/>
        <v/>
      </c>
      <c r="M23" s="93" t="str">
        <f>IF($C23="",
        "",
             IF(AND(C23="Sello_cortafuego",D23&lt;&gt;""),
                    IF(OR($D23=Referencias!$T$23,$D23=Referencias!$T$24),1,
                    IF(OR($D23=Referencias!$T$21,$D23=Referencias!$T$22),( PI()*((F23*F23)+(2*0.48*( F23*((0+(F23-1))/2) ))) )/100,
                           F23*L23
)),"-"))</f>
        <v/>
      </c>
      <c r="N23" s="99"/>
      <c r="O23" s="93" t="str">
        <f t="shared" si="0"/>
        <v/>
      </c>
      <c r="P23" s="80"/>
    </row>
    <row r="24" spans="1:16" ht="16.5" x14ac:dyDescent="0.2">
      <c r="A24" s="109"/>
      <c r="B24" s="110" t="s">
        <v>190</v>
      </c>
      <c r="C24" s="109"/>
      <c r="D24" s="109"/>
      <c r="E24" s="112"/>
      <c r="F24" s="111"/>
      <c r="G24" s="111"/>
      <c r="H24" s="112"/>
      <c r="I24" s="110"/>
      <c r="J24" s="92" t="str">
        <f>IF($A24="",
        "",
        IF(C24="Abertura_perforación",
                          IF(D24="Circular", IF(E24=0,1,E24)*PI()*(F24^2)/4,
                          IF(D24="Rectangular", IF(E24=0,1,E24)*F24*G24,
                          IF(D24="Irregular",  IF(E24=0,1,E24)*F24,
                          IF(D24="Junta con steeldeck (HW)", IF(E24=0,1,E24)*(G24+(IF(H24=0,1,IF(H24=1,2.5,IF(H24=2,Referencias!$AV$19,IF(H24=3,Referencias!$AV$34,IF(H24=4,4.5,H24)))))/100 ))*F24,
                             IF(E24=0,1,E24)*F24*G24
     )))),"-")
)</f>
        <v/>
      </c>
      <c r="K24" s="92" t="str">
        <f t="shared" si="1"/>
        <v/>
      </c>
      <c r="L24" s="92" t="str">
        <f t="shared" si="2"/>
        <v/>
      </c>
      <c r="M24" s="93" t="str">
        <f>IF($C24="",
        "",
             IF(AND(C24="Sello_cortafuego",D24&lt;&gt;""),
                    IF(OR($D24=Referencias!$T$23,$D24=Referencias!$T$24),1,
                    IF(OR($D24=Referencias!$T$21,$D24=Referencias!$T$22),( PI()*((F24*F24)+(2*0.48*( F24*((0+(F24-1))/2) ))) )/100,
                           F24*L24
)),"-"))</f>
        <v/>
      </c>
      <c r="N24" s="99"/>
      <c r="O24" s="93" t="str">
        <f t="shared" si="0"/>
        <v/>
      </c>
      <c r="P24" s="80"/>
    </row>
    <row r="25" spans="1:16" ht="33" x14ac:dyDescent="0.2">
      <c r="A25" s="109"/>
      <c r="B25" s="110" t="s">
        <v>192</v>
      </c>
      <c r="C25" s="109"/>
      <c r="D25" s="109"/>
      <c r="E25" s="112"/>
      <c r="F25" s="111"/>
      <c r="G25" s="111"/>
      <c r="H25" s="112"/>
      <c r="I25" s="110"/>
      <c r="J25" s="92" t="str">
        <f>IF($A25="",
        "",
        IF(C25="Abertura_perforación",
                          IF(D25="Circular", IF(E25=0,1,E25)*PI()*(F25^2)/4,
                          IF(D25="Rectangular", IF(E25=0,1,E25)*F25*G25,
                          IF(D25="Irregular",  IF(E25=0,1,E25)*F25,
                          IF(D25="Junta con steeldeck (HW)", IF(E25=0,1,E25)*(G25+(IF(H25=0,1,IF(H25=1,2.5,IF(H25=2,Referencias!$AV$19,IF(H25=3,Referencias!$AV$34,IF(H25=4,4.5,H25)))))/100 ))*F25,
                             IF(E25=0,1,E25)*F25*G25
     )))),"-")
)</f>
        <v/>
      </c>
      <c r="K25" s="92" t="str">
        <f t="shared" si="1"/>
        <v/>
      </c>
      <c r="L25" s="92" t="str">
        <f t="shared" si="2"/>
        <v/>
      </c>
      <c r="M25" s="93" t="str">
        <f>IF($C25="",
        "",
             IF(AND(C25="Sello_cortafuego",D25&lt;&gt;""),
                    IF(OR($D25=Referencias!$T$23,$D25=Referencias!$T$24),1,
                    IF(OR($D25=Referencias!$T$21,$D25=Referencias!$T$22),( PI()*((F25*F25)+(2*0.48*( F25*((0+(F25-1))/2) ))) )/100,
                           F25*L25
)),"-"))</f>
        <v/>
      </c>
      <c r="N25" s="99"/>
      <c r="O25" s="93" t="str">
        <f t="shared" si="0"/>
        <v/>
      </c>
      <c r="P25" s="80"/>
    </row>
    <row r="26" spans="1:16" ht="8.25" x14ac:dyDescent="0.2">
      <c r="A26" s="109"/>
      <c r="B26" s="110"/>
      <c r="C26" s="109"/>
      <c r="D26" s="109"/>
      <c r="E26" s="112"/>
      <c r="F26" s="111"/>
      <c r="G26" s="111"/>
      <c r="H26" s="112"/>
      <c r="I26" s="110"/>
      <c r="J26" s="92" t="str">
        <f>IF($A26="",
        "",
        IF(C26="Abertura_perforación",
                          IF(D26="Circular", IF(E26=0,1,E26)*PI()*(F26^2)/4,
                          IF(D26="Rectangular", IF(E26=0,1,E26)*F26*G26,
                          IF(D26="Irregular",  IF(E26=0,1,E26)*F26,
                          IF(D26="Junta con steeldeck (HW)", IF(E26=0,1,E26)*(G26+(IF(H26=0,1,IF(H26=1,2.5,IF(H26=2,Referencias!$AV$19,IF(H26=3,Referencias!$AV$34,IF(H26=4,4.5,H26)))))/100 ))*F26,
                             IF(E26=0,1,E26)*F26*G26
     )))),"-")
)</f>
        <v/>
      </c>
      <c r="K26" s="92" t="str">
        <f t="shared" si="1"/>
        <v/>
      </c>
      <c r="L26" s="92" t="str">
        <f t="shared" si="2"/>
        <v/>
      </c>
      <c r="M26" s="93" t="str">
        <f>IF($C26="",
        "",
             IF(AND(C26="Sello_cortafuego",D26&lt;&gt;""),
                    IF(OR($D26=Referencias!$T$23,$D26=Referencias!$T$24),1,
                    IF(OR($D26=Referencias!$T$21,$D26=Referencias!$T$22),( PI()*((F26*F26)+(2*0.48*( F26*((0+(F26-1))/2) ))) )/100,
                           F26*L26
)),"-"))</f>
        <v/>
      </c>
      <c r="N26" s="99"/>
      <c r="O26" s="93" t="str">
        <f t="shared" si="0"/>
        <v/>
      </c>
      <c r="P26" s="80"/>
    </row>
    <row r="27" spans="1:16" ht="8.25" x14ac:dyDescent="0.2">
      <c r="A27" s="109"/>
      <c r="B27" s="110"/>
      <c r="C27" s="109"/>
      <c r="D27" s="109"/>
      <c r="E27" s="112"/>
      <c r="F27" s="111"/>
      <c r="G27" s="111"/>
      <c r="H27" s="112"/>
      <c r="I27" s="110"/>
      <c r="J27" s="92" t="str">
        <f>IF($A27="",
        "",
        IF(C27="Abertura_perforación",
                          IF(D27="Circular", IF(E27=0,1,E27)*PI()*(F27^2)/4,
                          IF(D27="Rectangular", IF(E27=0,1,E27)*F27*G27,
                          IF(D27="Irregular",  IF(E27=0,1,E27)*F27,
                          IF(D27="Junta con steeldeck (HW)", IF(E27=0,1,E27)*(G27+(IF(H27=0,1,IF(H27=1,2.5,IF(H27=2,Referencias!$AV$19,IF(H27=3,Referencias!$AV$34,IF(H27=4,4.5,H27)))))/100 ))*F27,
                             IF(E27=0,1,E27)*F27*G27
     )))),"-")
)</f>
        <v/>
      </c>
      <c r="K27" s="92" t="str">
        <f t="shared" si="1"/>
        <v/>
      </c>
      <c r="L27" s="92" t="str">
        <f t="shared" si="2"/>
        <v/>
      </c>
      <c r="M27" s="93" t="str">
        <f>IF($C27="",
        "",
             IF(AND(C27="Sello_cortafuego",D27&lt;&gt;""),
                    IF(OR($D27=Referencias!$T$23,$D27=Referencias!$T$24),1,
                    IF(OR($D27=Referencias!$T$21,$D27=Referencias!$T$22),( PI()*((F27*F27)+(2*0.48*( F27*((0+(F27-1))/2) ))) )/100,
                           F27*L27
)),"-"))</f>
        <v/>
      </c>
      <c r="N27" s="99"/>
      <c r="O27" s="93" t="str">
        <f t="shared" si="0"/>
        <v/>
      </c>
      <c r="P27" s="80"/>
    </row>
    <row r="28" spans="1:16" ht="16.5" x14ac:dyDescent="0.2">
      <c r="A28" s="109"/>
      <c r="B28" s="110" t="s">
        <v>193</v>
      </c>
      <c r="C28" s="109"/>
      <c r="D28" s="109"/>
      <c r="E28" s="112"/>
      <c r="F28" s="111"/>
      <c r="G28" s="111"/>
      <c r="H28" s="112"/>
      <c r="I28" s="110"/>
      <c r="J28" s="92" t="str">
        <f>IF($A28="",
        "",
        IF(C28="Abertura_perforación",
                          IF(D28="Circular", IF(E28=0,1,E28)*PI()*(F28^2)/4,
                          IF(D28="Rectangular", IF(E28=0,1,E28)*F28*G28,
                          IF(D28="Irregular",  IF(E28=0,1,E28)*F28,
                          IF(D28="Junta con steeldeck (HW)", IF(E28=0,1,E28)*(G28+(IF(H28=0,1,IF(H28=1,2.5,IF(H28=2,Referencias!$AV$19,IF(H28=3,Referencias!$AV$34,IF(H28=4,4.5,H28)))))/100 ))*F28,
                             IF(E28=0,1,E28)*F28*G28
     )))),"-")
)</f>
        <v/>
      </c>
      <c r="K28" s="92" t="str">
        <f t="shared" si="1"/>
        <v/>
      </c>
      <c r="L28" s="92" t="str">
        <f t="shared" si="2"/>
        <v/>
      </c>
      <c r="M28" s="93" t="str">
        <f>IF($C28="",
        "",
             IF(AND(C28="Sello_cortafuego",D28&lt;&gt;""),
                    IF(OR($D28=Referencias!$T$23,$D28=Referencias!$T$24),1,
                    IF(OR($D28=Referencias!$T$21,$D28=Referencias!$T$22),( PI()*((F28*F28)+(2*0.48*( F28*((0+(F28-1))/2) ))) )/100,
                           F28*L28
)),"-"))</f>
        <v/>
      </c>
      <c r="N28" s="99"/>
      <c r="O28" s="93" t="str">
        <f t="shared" si="0"/>
        <v/>
      </c>
      <c r="P28" s="80"/>
    </row>
    <row r="29" spans="1:16" ht="33" x14ac:dyDescent="0.2">
      <c r="A29" s="109"/>
      <c r="B29" s="110" t="s">
        <v>114</v>
      </c>
      <c r="C29" s="109"/>
      <c r="D29" s="109"/>
      <c r="E29" s="112"/>
      <c r="F29" s="111"/>
      <c r="G29" s="111"/>
      <c r="H29" s="112"/>
      <c r="I29" s="110"/>
      <c r="J29" s="92" t="str">
        <f>IF($A29="",
        "",
        IF(C29="Abertura_perforación",
                          IF(D29="Circular", IF(E29=0,1,E29)*PI()*(F29^2)/4,
                          IF(D29="Rectangular", IF(E29=0,1,E29)*F29*G29,
                          IF(D29="Irregular",  IF(E29=0,1,E29)*F29,
                          IF(D29="Junta con steeldeck (HW)", IF(E29=0,1,E29)*(G29+(IF(H29=0,1,IF(H29=1,2.5,IF(H29=2,Referencias!$AV$19,IF(H29=3,Referencias!$AV$34,IF(H29=4,4.5,H29)))))/100 ))*F29,
                             IF(E29=0,1,E29)*F29*G29
     )))),"-")
)</f>
        <v/>
      </c>
      <c r="K29" s="92" t="str">
        <f t="shared" si="1"/>
        <v/>
      </c>
      <c r="L29" s="92" t="str">
        <f t="shared" si="2"/>
        <v/>
      </c>
      <c r="M29" s="93" t="str">
        <f>IF($C29="",
        "",
             IF(AND(C29="Sello_cortafuego",D29&lt;&gt;""),
                    IF(OR($D29=Referencias!$T$23,$D29=Referencias!$T$24),1,
                    IF(OR($D29=Referencias!$T$21,$D29=Referencias!$T$22),( PI()*((F29*F29)+(2*0.48*( F29*((0+(F29-1))/2) ))) )/100,
                           F29*L29
)),"-"))</f>
        <v/>
      </c>
      <c r="N29" s="99"/>
      <c r="O29" s="93" t="str">
        <f t="shared" si="0"/>
        <v/>
      </c>
      <c r="P29" s="80"/>
    </row>
    <row r="30" spans="1:16" ht="24.75" x14ac:dyDescent="0.2">
      <c r="A30" s="109"/>
      <c r="B30" s="109" t="s">
        <v>116</v>
      </c>
      <c r="C30" s="109"/>
      <c r="D30" s="109"/>
      <c r="E30" s="112"/>
      <c r="F30" s="111"/>
      <c r="G30" s="111"/>
      <c r="H30" s="112"/>
      <c r="I30" s="110"/>
      <c r="J30" s="92" t="str">
        <f>IF($A30="",
        "",
        IF(C30="Abertura_perforación",
                          IF(D30="Circular", IF(E30=0,1,E30)*PI()*(F30^2)/4,
                          IF(D30="Rectangular", IF(E30=0,1,E30)*F30*G30,
                          IF(D30="Irregular",  IF(E30=0,1,E30)*F30,
                          IF(D30="Junta con steeldeck (HW)", IF(E30=0,1,E30)*(G30+(IF(H30=0,1,IF(H30=1,2.5,IF(H30=2,Referencias!$AV$19,IF(H30=3,Referencias!$AV$34,IF(H30=4,4.5,H30)))))/100 ))*F30,
                             IF(E30=0,1,E30)*F30*G30
     )))),"-")
)</f>
        <v/>
      </c>
      <c r="K30" s="92" t="str">
        <f t="shared" si="1"/>
        <v/>
      </c>
      <c r="L30" s="92" t="str">
        <f t="shared" si="2"/>
        <v/>
      </c>
      <c r="M30" s="93" t="str">
        <f>IF($C30="",
        "",
             IF(AND(C30="Sello_cortafuego",D30&lt;&gt;""),
                    IF(OR($D30=Referencias!$T$23,$D30=Referencias!$T$24),1,
                    IF(OR($D30=Referencias!$T$21,$D30=Referencias!$T$22),( PI()*((F30*F30)+(2*0.48*( F30*((0+(F30-1))/2) ))) )/100,
                           F30*L30
)),"-"))</f>
        <v/>
      </c>
      <c r="N30" s="99"/>
      <c r="O30" s="93" t="str">
        <f t="shared" si="0"/>
        <v/>
      </c>
      <c r="P30" s="80"/>
    </row>
    <row r="31" spans="1:16" ht="9" customHeight="1" x14ac:dyDescent="0.2">
      <c r="A31" s="109"/>
      <c r="B31" s="109"/>
      <c r="C31" s="109"/>
      <c r="D31" s="109"/>
      <c r="E31" s="112"/>
      <c r="F31" s="111"/>
      <c r="G31" s="111"/>
      <c r="H31" s="112"/>
      <c r="I31" s="110"/>
      <c r="J31" s="92" t="str">
        <f>IF($A31="",
        "",
        IF(C31="Abertura_perforación",
                          IF(D31="Circular", IF(E31=0,1,E31)*PI()*(F31^2)/4,
                          IF(D31="Rectangular", IF(E31=0,1,E31)*F31*G31,
                          IF(D31="Irregular",  IF(E31=0,1,E31)*F31,
                          IF(D31="Junta con steeldeck (HW)", IF(E31=0,1,E31)*(G31+(IF(H31=0,1,IF(H31=1,2.5,IF(H31=2,Referencias!$AV$19,IF(H31=3,Referencias!$AV$34,IF(H31=4,4.5,H31)))))/100 ))*F31,
                             IF(E31=0,1,E31)*F31*G31
     )))),"-")
)</f>
        <v/>
      </c>
      <c r="K31" s="92" t="str">
        <f t="shared" si="1"/>
        <v/>
      </c>
      <c r="L31" s="92" t="str">
        <f t="shared" si="2"/>
        <v/>
      </c>
      <c r="M31" s="93" t="str">
        <f>IF($C31="",
        "",
             IF(AND(C31="Sello_cortafuego",D31&lt;&gt;""),
                    IF(OR($D31=Referencias!$T$23,$D31=Referencias!$T$24),1,
                    IF(OR($D31=Referencias!$T$21,$D31=Referencias!$T$22),( PI()*((F31*F31)+(2*0.48*( F31*((0+(F31-1))/2) ))) )/100,
                           F31*L31
)),"-"))</f>
        <v/>
      </c>
      <c r="N31" s="99"/>
      <c r="O31" s="93" t="str">
        <f t="shared" si="0"/>
        <v/>
      </c>
      <c r="P31" s="80"/>
    </row>
  </sheetData>
  <sheetProtection formatCells="0" formatRows="0" insertRows="0" insertHyperlinks="0" deleteRows="0" selectLockedCells="1" sort="0" autoFilter="0" pivotTables="0"/>
  <dataConsolidate/>
  <mergeCells count="6">
    <mergeCell ref="C9:H9"/>
    <mergeCell ref="A6:H6"/>
    <mergeCell ref="D4:H4"/>
    <mergeCell ref="D3:H3"/>
    <mergeCell ref="A3:B3"/>
    <mergeCell ref="A4:B4"/>
  </mergeCells>
  <phoneticPr fontId="3" type="noConversion"/>
  <conditionalFormatting sqref="A11:A31">
    <cfRule type="expression" dxfId="18" priority="1">
      <formula>$A11=$A10</formula>
    </cfRule>
  </conditionalFormatting>
  <conditionalFormatting sqref="A11:O31">
    <cfRule type="expression" dxfId="17" priority="2">
      <formula>$A11&lt;&gt;$A12</formula>
    </cfRule>
    <cfRule type="expression" dxfId="16" priority="18">
      <formula>$A11=$A10</formula>
    </cfRule>
  </conditionalFormatting>
  <conditionalFormatting sqref="F11:F31">
    <cfRule type="expression" dxfId="15" priority="1499">
      <formula>"Irregular"</formula>
    </cfRule>
  </conditionalFormatting>
  <conditionalFormatting sqref="H11:H31">
    <cfRule type="expression" dxfId="11" priority="1502">
      <formula>$D11="Bandeja PC"</formula>
    </cfRule>
    <cfRule type="expression" dxfId="10" priority="1516">
      <formula>IF(IFERROR(FIND("steeldeck",$D11,1),0)&gt;0,TRUE(),FALSE())</formula>
    </cfRule>
  </conditionalFormatting>
  <dataValidations count="6">
    <dataValidation type="list" allowBlank="1" showInputMessage="1" showErrorMessage="1" errorTitle="Error de validación" error="Seleccione uno de los materiales indicados en la hoja de referencias." promptTitle="Componentes del sistema" prompt="Seleccione el elemento que desea configurar y especificar." sqref="C11:C31">
      <formula1>List_Items</formula1>
    </dataValidation>
    <dataValidation type="list" allowBlank="1" showInputMessage="1" showErrorMessage="1" errorTitle="Error de validación" error="Por favor verifique y seleccione el tipo correcto de elemento segun la lista desplegable." promptTitle="Tipo de componente" prompt="Seleccione el tipo de elemento o accesorio que desea configurar y agregar a la especificación." sqref="D11:D31">
      <formula1>INDIRECT($C11)</formula1>
    </dataValidation>
    <dataValidation type="decimal" errorStyle="warning" operator="greaterThanOrEqual" allowBlank="1" showInputMessage="1" showErrorMessage="1" promptTitle="Factor geométrico" prompt="- Para bandejas porta-cables corresponde al porcentaje de llenado efectivo de la sección;_x000a_- Para juntas con lámina de steel deck corresponde a la altura del perfil (2, 3, 4 o X pulgadas);_x000a_- NO APLICA para otros tipos de componentes." sqref="H11:H31">
      <formula1>0</formula1>
    </dataValidation>
    <dataValidation type="whole" errorStyle="warning" operator="greaterThan" allowBlank="1" showInputMessage="1" showErrorMessage="1" errorTitle="Error de especificación" error="El número no es correcto." promptTitle="Cantidad" prompt="Ingrese el número de elementos incluidos en la especificación." sqref="E11:E31">
      <formula1>0</formula1>
    </dataValidation>
    <dataValidation type="decimal" errorStyle="warning" operator="greaterThanOrEqual" allowBlank="1" showInputMessage="1" showErrorMessage="1" promptTitle="Dimensión principal" prompt="- Para componentes circulares corresponde al diámetro del elemento; _x000a_- Para componentes rectangulares,corresponde a la mayor dimensión;_x000a_- Para materiales cortafuego, corresponde al espesor especificado_x000a_- Para componentes irregulares es el área de sección." sqref="F11:F31">
      <formula1>0</formula1>
    </dataValidation>
    <dataValidation type="decimal" errorStyle="warning" operator="greaterThanOrEqual" allowBlank="1" showInputMessage="1" showErrorMessage="1" error="_x000a_" promptTitle="Dimensión secundaria" prompt="- Para componentes rectangulares corresponde a la menor dimensión;_x000a_- NO APLICA para otros tipos de componentes." sqref="G11:G31">
      <formula1>0</formula1>
    </dataValidation>
  </dataValidations>
  <pageMargins left="0.39370078740157483" right="0.39370078740157483" top="1.1811023622047245" bottom="0.78740157480314965" header="0.59055118110236227" footer="0.39370078740157483"/>
  <pageSetup fitToWidth="2" fitToHeight="0" pageOrder="overThenDown" orientation="landscape" r:id="rId1"/>
  <headerFooter differentOddEven="1">
    <oddHeader>&amp;L&amp;8
&amp;F
Informe de especificación de Sellos Cortafuego - SCF&amp;C&amp;"Arial Black,Regular"&amp;8&amp;KD10024— ESTE DOCUMENTO ES CONFIDENCIAL —
PLANILLA PARA USO INTERNO &amp;R&amp;G</oddHeader>
    <oddFooter>&amp;L&amp;"Arial,Negrita"Hilti Colombia S.A.S&amp;"Arial,Normal"
&amp;"Arial,Cursiva"&amp;9Departamento de Ingeniería&amp;C Página &amp;P de &amp;N&amp;R&amp;K01+010Memoria de Cálculo&amp;K01+000
&amp;"Arial,Cursiva"&amp;9&amp;KD10024Cantidades de Sellos Cortafuego</oddFooter>
    <evenHeader>&amp;L&amp;8
&amp;F
Planilla de inspección de Sellos Cortafuego - SCF&amp;C&amp;"Arial Black,Regular"&amp;8&amp;KD10024— ESTE DOCUMENTO ES CONFIDENCIAL —
PLANILLA PARA USO INTERNO &amp;R&amp;G</evenHeader>
    <evenFooter>&amp;L&amp;"Arial,Negrita"Hilti Colombia S.A.S&amp;"Arial,Normal"
&amp;"Arial,Cursiva"&amp;9Departamento de Ingeniería&amp;C Página &amp;P de &amp;N&amp;RMemoria de Cálculo
&amp;"Arial,Cursiva"&amp;9&amp;KD10024Cantidades de Sellos Cortafuego</evenFooter>
  </headerFooter>
  <legacyDrawingHF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9" operator="containsText" id="{92923FD8-7EAC-431B-9C55-DC973A29DC71}">
            <xm:f>NOT(ISERROR(SEARCH("Irregular",D11)))</xm:f>
            <xm:f>"Irregular"</xm:f>
            <x14:dxf>
              <font>
                <b/>
                <i val="0"/>
                <strike val="0"/>
                <color rgb="FFC00000"/>
              </font>
              <numFmt numFmtId="0" formatCode="General"/>
            </x14:dxf>
          </x14:cfRule>
          <xm:sqref>D11:D31</xm:sqref>
        </x14:conditionalFormatting>
        <x14:conditionalFormatting xmlns:xm="http://schemas.microsoft.com/office/excel/2006/main">
          <x14:cfRule type="expression" priority="21" id="{A3909E35-AC3C-4E36-A69C-48C8A1904109}">
            <xm:f>OR($D11=Referencias!$T$23,$D11=Referencias!$T$24)</xm:f>
            <x14:dxf>
              <numFmt numFmtId="169" formatCode="0&quot; unid&quot;"/>
            </x14:dxf>
          </x14:cfRule>
          <x14:cfRule type="expression" priority="493" id="{18F4F619-D177-46D5-B3A2-8244A319D7C9}">
            <xm:f>OR($D11=Referencias!$T$21,$D11=Referencias!$T$22)</xm:f>
            <x14:dxf>
              <numFmt numFmtId="165" formatCode="0.00&quot; m&quot;"/>
            </x14:dxf>
          </x14:cfRule>
          <xm:sqref>M11:M31 O11:O31</xm:sqref>
        </x14:conditionalFormatting>
      </x14:conditionalFormattings>
    </ext>
    <ext xmlns:mx="http://schemas.microsoft.com/office/mac/excel/2008/main" uri="{64002731-A6B0-56B0-2670-7721B7C09600}">
      <mx:PLV Mode="1"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AS50"/>
  <sheetViews>
    <sheetView showGridLines="0" view="pageBreakPreview" zoomScaleNormal="100" zoomScaleSheetLayoutView="100" zoomScalePageLayoutView="92" workbookViewId="0">
      <pane ySplit="7" topLeftCell="A8" activePane="bottomLeft" state="frozen"/>
      <selection activeCell="B9" sqref="B9"/>
      <selection pane="bottomLeft" activeCell="B20" sqref="B20"/>
    </sheetView>
  </sheetViews>
  <sheetFormatPr defaultColWidth="0" defaultRowHeight="15" x14ac:dyDescent="0.2"/>
  <cols>
    <col min="1" max="1" width="5.7109375" style="3" customWidth="1"/>
    <col min="2" max="2" width="8.5703125" style="3" customWidth="1"/>
    <col min="3" max="3" width="15" style="3" customWidth="1"/>
    <col min="4" max="4" width="17.140625" style="3" customWidth="1"/>
    <col min="5" max="5" width="9.28515625" style="3" customWidth="1"/>
    <col min="6" max="6" width="12.85546875" style="3" customWidth="1"/>
    <col min="7" max="10" width="14.28515625" style="3" customWidth="1"/>
    <col min="11" max="11" width="7.140625" style="3" customWidth="1"/>
    <col min="12" max="12" width="35.7109375" style="9" customWidth="1"/>
    <col min="13" max="13" width="21.140625" style="9" customWidth="1"/>
    <col min="14" max="14" width="17.140625" style="9" customWidth="1"/>
    <col min="15" max="15" width="27.7109375" style="9" bestFit="1" customWidth="1"/>
    <col min="16" max="16" width="18.5703125" style="9" customWidth="1"/>
    <col min="17" max="18" width="9" style="9" customWidth="1"/>
    <col min="19" max="19" width="9.140625" style="9" customWidth="1"/>
    <col min="20" max="16384" width="0" style="9" hidden="1"/>
  </cols>
  <sheetData>
    <row r="1" spans="1:45" s="61" customFormat="1" ht="3.75" customHeight="1" thickBot="1" x14ac:dyDescent="0.25">
      <c r="N1" s="64"/>
      <c r="O1" s="64"/>
      <c r="P1" s="64"/>
      <c r="Q1" s="64"/>
      <c r="R1" s="64"/>
      <c r="S1" s="64"/>
      <c r="T1" s="64"/>
      <c r="U1" s="64"/>
      <c r="V1" s="64"/>
      <c r="W1" s="64"/>
      <c r="X1" s="64"/>
      <c r="Y1" s="62"/>
      <c r="Z1" s="62"/>
      <c r="AA1" s="62"/>
      <c r="AB1" s="62"/>
      <c r="AC1" s="62"/>
      <c r="AD1" s="62"/>
      <c r="AE1" s="62"/>
      <c r="AF1" s="62"/>
      <c r="AG1" s="62"/>
      <c r="AH1" s="62"/>
      <c r="AI1" s="62"/>
      <c r="AJ1" s="62"/>
      <c r="AK1" s="62"/>
      <c r="AL1" s="62"/>
      <c r="AM1" s="62"/>
      <c r="AN1" s="62"/>
      <c r="AO1" s="62"/>
      <c r="AP1" s="62"/>
      <c r="AQ1" s="62"/>
      <c r="AR1" s="62"/>
      <c r="AS1" s="62"/>
    </row>
    <row r="2" spans="1:45" s="62" customFormat="1" ht="14.25" x14ac:dyDescent="0.25">
      <c r="A2" s="65" t="s">
        <v>93</v>
      </c>
      <c r="B2" s="65"/>
      <c r="C2" s="65"/>
      <c r="D2" s="66"/>
      <c r="E2" s="67" t="s">
        <v>94</v>
      </c>
      <c r="F2" s="67"/>
      <c r="G2" s="67"/>
      <c r="H2" s="66"/>
      <c r="I2" s="166" t="s">
        <v>95</v>
      </c>
      <c r="J2" s="166"/>
      <c r="K2" s="166"/>
      <c r="N2" s="64"/>
      <c r="O2" s="64"/>
      <c r="P2" s="64"/>
      <c r="Q2" s="64"/>
      <c r="R2" s="64"/>
      <c r="S2" s="64"/>
      <c r="T2" s="64"/>
      <c r="U2" s="64"/>
      <c r="V2" s="64"/>
      <c r="W2" s="64"/>
      <c r="X2" s="64"/>
    </row>
    <row r="3" spans="1:45" s="62" customFormat="1" ht="12.75" customHeight="1" x14ac:dyDescent="0.2">
      <c r="A3" s="172" t="str">
        <f>'Informe - Planilla'!A3</f>
        <v>CLIENTE</v>
      </c>
      <c r="B3" s="172"/>
      <c r="C3" s="172"/>
      <c r="D3" s="172"/>
      <c r="E3" s="172" t="str">
        <f>'Informe - Planilla'!D3</f>
        <v>INGENIERÍA</v>
      </c>
      <c r="F3" s="172"/>
      <c r="G3" s="172"/>
      <c r="H3" s="172"/>
      <c r="I3" s="167">
        <f ca="1">'Informe - Planilla'!I3</f>
        <v>42551</v>
      </c>
      <c r="J3" s="167"/>
      <c r="K3" s="167"/>
      <c r="N3" s="64"/>
      <c r="O3" s="64"/>
      <c r="P3" s="64"/>
      <c r="Q3" s="64"/>
      <c r="R3" s="64"/>
      <c r="S3" s="64"/>
      <c r="T3" s="64"/>
      <c r="U3" s="64"/>
      <c r="V3" s="64"/>
      <c r="W3" s="64"/>
      <c r="X3" s="64"/>
    </row>
    <row r="4" spans="1:45" s="62" customFormat="1" ht="13.5" customHeight="1" thickBot="1" x14ac:dyDescent="0.25">
      <c r="A4" s="174" t="str">
        <f>'Informe - Planilla'!A4</f>
        <v>Nombre de destinatario</v>
      </c>
      <c r="B4" s="174"/>
      <c r="C4" s="174"/>
      <c r="D4" s="174"/>
      <c r="E4" s="175" t="str">
        <f>'Informe - Planilla'!D4</f>
        <v>Nombre de remitente</v>
      </c>
      <c r="F4" s="175"/>
      <c r="G4" s="175"/>
      <c r="H4" s="175"/>
      <c r="I4" s="169"/>
      <c r="J4" s="169"/>
      <c r="K4" s="169"/>
      <c r="N4" s="64"/>
      <c r="O4" s="64"/>
      <c r="P4" s="64"/>
      <c r="Q4" s="64"/>
      <c r="R4" s="64"/>
      <c r="S4" s="64"/>
      <c r="T4" s="64"/>
      <c r="U4" s="64"/>
      <c r="V4" s="64"/>
      <c r="W4" s="64"/>
      <c r="X4" s="64"/>
    </row>
    <row r="5" spans="1:45" s="62" customFormat="1" ht="12.75" customHeight="1" x14ac:dyDescent="0.25">
      <c r="A5" s="65" t="s">
        <v>96</v>
      </c>
      <c r="B5" s="65"/>
      <c r="C5" s="65"/>
      <c r="D5" s="66"/>
      <c r="E5" s="66"/>
      <c r="F5" s="66"/>
      <c r="G5" s="66"/>
      <c r="H5" s="66"/>
      <c r="I5" s="166" t="s">
        <v>97</v>
      </c>
      <c r="J5" s="166"/>
      <c r="K5" s="166"/>
      <c r="N5" s="64"/>
      <c r="O5" s="64"/>
      <c r="P5" s="64"/>
      <c r="Q5" s="64"/>
      <c r="R5" s="64"/>
      <c r="S5" s="64"/>
      <c r="T5" s="64"/>
      <c r="U5" s="64"/>
      <c r="V5" s="64"/>
      <c r="W5" s="64"/>
      <c r="X5" s="64"/>
    </row>
    <row r="6" spans="1:45" s="62" customFormat="1" ht="13.5" customHeight="1" thickBot="1" x14ac:dyDescent="0.25">
      <c r="A6" s="176" t="str">
        <f>'Informe - Planilla'!A6</f>
        <v>Descripción del proyecto; incluir nombre de la obra/proyecto.</v>
      </c>
      <c r="B6" s="176"/>
      <c r="C6" s="176"/>
      <c r="D6" s="176"/>
      <c r="E6" s="176" t="e">
        <v>#VALUE!</v>
      </c>
      <c r="F6" s="176"/>
      <c r="G6" s="176"/>
      <c r="H6" s="176"/>
      <c r="I6" s="168" t="str">
        <f>'Informe - Planilla'!I6</f>
        <v>HES-FS-…</v>
      </c>
      <c r="J6" s="168"/>
      <c r="K6" s="168"/>
      <c r="N6" s="64"/>
      <c r="O6" s="64"/>
      <c r="P6" s="64"/>
      <c r="Q6" s="64"/>
      <c r="R6" s="64"/>
      <c r="S6" s="64"/>
      <c r="T6" s="64"/>
      <c r="U6" s="64"/>
      <c r="V6" s="64"/>
      <c r="W6" s="64"/>
      <c r="X6" s="64"/>
    </row>
    <row r="7" spans="1:45" s="62" customFormat="1" ht="7.5" customHeight="1" x14ac:dyDescent="0.2">
      <c r="A7" s="72"/>
      <c r="B7" s="72"/>
      <c r="C7" s="72"/>
      <c r="D7" s="72"/>
      <c r="E7" s="72"/>
      <c r="F7" s="72"/>
      <c r="G7" s="72"/>
      <c r="H7" s="72"/>
      <c r="I7" s="72"/>
      <c r="J7" s="72"/>
      <c r="K7" s="69"/>
      <c r="N7" s="64"/>
      <c r="O7" s="64"/>
      <c r="P7" s="64"/>
      <c r="Q7" s="64"/>
      <c r="R7" s="64"/>
      <c r="S7" s="64"/>
      <c r="T7" s="64"/>
      <c r="U7" s="64"/>
      <c r="V7" s="64"/>
      <c r="W7" s="64"/>
      <c r="X7" s="64"/>
    </row>
    <row r="8" spans="1:45" ht="18.75" customHeight="1" x14ac:dyDescent="0.2">
      <c r="A8" s="5"/>
      <c r="B8" s="5"/>
      <c r="C8" s="5"/>
      <c r="D8" s="5"/>
      <c r="E8" s="5"/>
      <c r="F8" s="5"/>
      <c r="G8" s="5"/>
      <c r="H8" s="5"/>
      <c r="I8" s="5"/>
      <c r="J8" s="5"/>
      <c r="K8" s="69"/>
    </row>
    <row r="9" spans="1:45" ht="18.75" customHeight="1" x14ac:dyDescent="0.2">
      <c r="A9" s="180" t="s">
        <v>176</v>
      </c>
      <c r="B9" s="180"/>
      <c r="C9" s="180"/>
      <c r="D9" s="180"/>
      <c r="E9" s="180"/>
      <c r="F9" s="180"/>
      <c r="G9" s="180"/>
      <c r="H9" s="180"/>
      <c r="I9" s="180"/>
      <c r="J9" s="180"/>
      <c r="K9" s="180"/>
    </row>
    <row r="10" spans="1:45" s="8" customFormat="1" ht="27" customHeight="1" x14ac:dyDescent="0.2">
      <c r="A10" s="6"/>
      <c r="B10" s="6"/>
      <c r="C10" s="6"/>
      <c r="D10" s="6"/>
      <c r="E10" s="6"/>
      <c r="F10" s="6"/>
      <c r="G10" s="6"/>
      <c r="H10" s="6"/>
      <c r="I10" s="6"/>
      <c r="J10" s="6"/>
      <c r="K10" s="69"/>
      <c r="L10" s="9"/>
      <c r="M10" s="9"/>
      <c r="N10" s="9"/>
      <c r="O10" s="9"/>
      <c r="P10" s="9"/>
      <c r="Q10" s="9"/>
      <c r="R10" s="9"/>
      <c r="S10" s="9"/>
    </row>
    <row r="11" spans="1:45" x14ac:dyDescent="0.2">
      <c r="A11" s="177" t="s">
        <v>177</v>
      </c>
      <c r="B11" s="177"/>
      <c r="C11" s="177"/>
      <c r="D11" s="177"/>
      <c r="E11" s="177"/>
      <c r="F11" s="177"/>
      <c r="G11" s="177"/>
      <c r="H11" s="177"/>
      <c r="K11" s="69"/>
    </row>
    <row r="12" spans="1:45" x14ac:dyDescent="0.2">
      <c r="K12" s="69"/>
    </row>
    <row r="13" spans="1:45" ht="60" customHeight="1" x14ac:dyDescent="0.2">
      <c r="A13" s="165" t="s">
        <v>179</v>
      </c>
      <c r="B13" s="165"/>
      <c r="C13" s="165"/>
      <c r="D13" s="165"/>
      <c r="E13" s="165"/>
      <c r="F13" s="165"/>
      <c r="G13" s="165"/>
      <c r="H13" s="165"/>
      <c r="I13" s="165"/>
      <c r="J13" s="165"/>
      <c r="K13" s="165"/>
    </row>
    <row r="14" spans="1:45" s="8" customFormat="1" x14ac:dyDescent="0.2">
      <c r="A14" s="6"/>
      <c r="B14" s="6"/>
      <c r="C14" s="6"/>
      <c r="D14" s="6"/>
      <c r="E14" s="6"/>
      <c r="F14" s="6"/>
      <c r="G14" s="6"/>
      <c r="H14" s="6"/>
      <c r="I14" s="6"/>
      <c r="J14" s="6"/>
      <c r="K14" s="69"/>
      <c r="L14" s="9"/>
      <c r="M14" s="9"/>
      <c r="N14" s="9"/>
      <c r="O14" s="9"/>
      <c r="P14" s="9"/>
      <c r="Q14" s="9"/>
      <c r="R14" s="9"/>
      <c r="S14" s="9"/>
    </row>
    <row r="15" spans="1:45" ht="15.75" x14ac:dyDescent="0.2">
      <c r="A15" s="177" t="s">
        <v>126</v>
      </c>
      <c r="B15" s="177"/>
      <c r="C15" s="177"/>
      <c r="D15" s="177"/>
      <c r="E15" s="177"/>
      <c r="F15" s="177"/>
      <c r="G15" s="177"/>
      <c r="H15" s="177"/>
      <c r="K15" s="69"/>
      <c r="L15" s="130"/>
    </row>
    <row r="16" spans="1:45" s="8" customFormat="1" x14ac:dyDescent="0.2">
      <c r="A16" s="4"/>
      <c r="B16" s="4"/>
      <c r="C16" s="4"/>
      <c r="D16" s="4"/>
      <c r="E16" s="4"/>
      <c r="F16" s="4"/>
      <c r="G16" s="4"/>
      <c r="H16" s="4"/>
      <c r="I16" s="4"/>
      <c r="J16" s="4"/>
      <c r="K16" s="69"/>
      <c r="L16" s="9"/>
      <c r="M16" s="9"/>
      <c r="N16" s="9"/>
      <c r="O16" s="9"/>
      <c r="P16" s="9"/>
      <c r="Q16" s="9"/>
      <c r="R16" s="9"/>
      <c r="S16" s="9"/>
    </row>
    <row r="17" spans="1:12" ht="25.5" customHeight="1" x14ac:dyDescent="0.2">
      <c r="A17" s="164" t="s">
        <v>102</v>
      </c>
      <c r="B17" s="164"/>
      <c r="C17" s="164"/>
      <c r="D17" s="164"/>
      <c r="E17" s="164"/>
      <c r="F17" s="164"/>
      <c r="G17" s="164"/>
      <c r="H17" s="164"/>
      <c r="I17" s="164"/>
      <c r="J17" s="164"/>
      <c r="K17" s="164"/>
    </row>
    <row r="18" spans="1:12" x14ac:dyDescent="0.2">
      <c r="A18" s="4"/>
      <c r="J18" s="75"/>
      <c r="K18" s="69"/>
    </row>
    <row r="19" spans="1:12" ht="16.5" thickBot="1" x14ac:dyDescent="0.3">
      <c r="A19" s="4"/>
      <c r="B19" s="149" t="s">
        <v>57</v>
      </c>
      <c r="C19" s="170" t="s">
        <v>56</v>
      </c>
      <c r="D19" s="170"/>
      <c r="E19" s="149" t="s">
        <v>121</v>
      </c>
      <c r="F19" s="149" t="s">
        <v>123</v>
      </c>
      <c r="G19" s="149" t="s">
        <v>127</v>
      </c>
      <c r="H19" s="149" t="s">
        <v>122</v>
      </c>
      <c r="I19" s="129" t="s">
        <v>124</v>
      </c>
      <c r="J19" s="75"/>
      <c r="K19" s="69"/>
      <c r="L19" s="130" t="s">
        <v>148</v>
      </c>
    </row>
    <row r="20" spans="1:12" ht="15.75" x14ac:dyDescent="0.2">
      <c r="A20" s="4"/>
      <c r="B20" s="139">
        <v>236993</v>
      </c>
      <c r="C20" s="125" t="str">
        <f t="shared" ref="C20:C34" si="0">IFERROR(VLOOKUP($B20,ProductTable,2,FALSE),"")</f>
        <v>CFS-WB</v>
      </c>
      <c r="D20" s="128" t="str">
        <f t="shared" ref="D20:D34" si="1">IFERROR(VLOOKUP($B20,ProductTable,3,FALSE),"")</f>
        <v>Unidad (Caja x4)</v>
      </c>
      <c r="E20" s="115">
        <f>IFERROR(ROUNDUP(G20/F20,0),"")</f>
        <v>1</v>
      </c>
      <c r="F20" s="118">
        <f t="shared" ref="F20:F34" si="2">IFERROR(VLOOKUP($B20,ProductTable,4,FALSE),"")</f>
        <v>74420</v>
      </c>
      <c r="G20" s="136">
        <f>IF($C20="","",SUMIF('Informe - Planilla'!$D:$D,$C20,'Informe - Planilla'!$O:$O))</f>
        <v>77</v>
      </c>
      <c r="H20" s="142">
        <f t="shared" ref="H20:H34" si="3">IFERROR(VLOOKUP($B20,ProductTable,6,FALSE),"")</f>
        <v>35800</v>
      </c>
      <c r="I20" s="122">
        <f>IFERROR(E20*H20,"")</f>
        <v>35800</v>
      </c>
      <c r="J20" s="75"/>
      <c r="K20" s="69"/>
      <c r="L20" s="130"/>
    </row>
    <row r="21" spans="1:12" x14ac:dyDescent="0.2">
      <c r="B21" s="140">
        <v>2101535</v>
      </c>
      <c r="C21" s="126" t="str">
        <f t="shared" si="0"/>
        <v>FS-ONE Max</v>
      </c>
      <c r="D21" s="147" t="str">
        <f t="shared" si="1"/>
        <v>Foil/Cartucho (600ml)</v>
      </c>
      <c r="E21" s="116">
        <f t="shared" ref="E21:E34" si="4">IFERROR(ROUNDUP(G21/F21,0),"")</f>
        <v>0</v>
      </c>
      <c r="F21" s="119">
        <f t="shared" si="2"/>
        <v>600</v>
      </c>
      <c r="G21" s="137">
        <f>IF($C21="","",SUMIF('Informe - Planilla'!$D:$D,$C21,'Informe - Planilla'!$O:$O))</f>
        <v>0</v>
      </c>
      <c r="H21" s="143">
        <f t="shared" si="3"/>
        <v>132300</v>
      </c>
      <c r="I21" s="123">
        <f t="shared" ref="I21:I34" si="5">IFERROR(E21*H21,"")</f>
        <v>0</v>
      </c>
      <c r="J21" s="75"/>
      <c r="K21" s="69"/>
    </row>
    <row r="22" spans="1:12" x14ac:dyDescent="0.2">
      <c r="B22" s="140"/>
      <c r="C22" s="126" t="str">
        <f t="shared" si="0"/>
        <v/>
      </c>
      <c r="D22" s="147" t="str">
        <f t="shared" si="1"/>
        <v/>
      </c>
      <c r="E22" s="116" t="str">
        <f t="shared" si="4"/>
        <v/>
      </c>
      <c r="F22" s="119" t="str">
        <f t="shared" si="2"/>
        <v/>
      </c>
      <c r="G22" s="137" t="str">
        <f>IF($C22="","",SUMIF('Informe - Planilla'!$D:$D,$C22,'Informe - Planilla'!$O:$O))</f>
        <v/>
      </c>
      <c r="H22" s="143" t="str">
        <f t="shared" si="3"/>
        <v/>
      </c>
      <c r="I22" s="123" t="str">
        <f t="shared" si="5"/>
        <v/>
      </c>
      <c r="J22" s="75"/>
      <c r="K22" s="69"/>
    </row>
    <row r="23" spans="1:12" x14ac:dyDescent="0.2">
      <c r="B23" s="140"/>
      <c r="C23" s="126" t="str">
        <f t="shared" si="0"/>
        <v/>
      </c>
      <c r="D23" s="147" t="str">
        <f t="shared" si="1"/>
        <v/>
      </c>
      <c r="E23" s="116" t="str">
        <f t="shared" si="4"/>
        <v/>
      </c>
      <c r="F23" s="119" t="str">
        <f t="shared" si="2"/>
        <v/>
      </c>
      <c r="G23" s="137" t="str">
        <f>IF($C23="","",SUMIF('Informe - Planilla'!$D:$D,$C23,'Informe - Planilla'!$O:$O))</f>
        <v/>
      </c>
      <c r="H23" s="143" t="str">
        <f t="shared" si="3"/>
        <v/>
      </c>
      <c r="I23" s="123" t="str">
        <f t="shared" si="5"/>
        <v/>
      </c>
      <c r="J23" s="75"/>
      <c r="K23" s="69"/>
    </row>
    <row r="24" spans="1:12" x14ac:dyDescent="0.2">
      <c r="B24" s="140"/>
      <c r="C24" s="126" t="str">
        <f t="shared" si="0"/>
        <v/>
      </c>
      <c r="D24" s="147" t="str">
        <f t="shared" si="1"/>
        <v/>
      </c>
      <c r="E24" s="116" t="str">
        <f t="shared" si="4"/>
        <v/>
      </c>
      <c r="F24" s="119" t="str">
        <f t="shared" si="2"/>
        <v/>
      </c>
      <c r="G24" s="137" t="str">
        <f>IF($C24="","",SUMIF('Informe - Planilla'!$D:$D,$C24,'Informe - Planilla'!$O:$O))</f>
        <v/>
      </c>
      <c r="H24" s="143" t="str">
        <f t="shared" si="3"/>
        <v/>
      </c>
      <c r="I24" s="123" t="str">
        <f t="shared" si="5"/>
        <v/>
      </c>
      <c r="J24" s="75"/>
      <c r="K24" s="69"/>
    </row>
    <row r="25" spans="1:12" x14ac:dyDescent="0.2">
      <c r="B25" s="140"/>
      <c r="C25" s="126" t="str">
        <f t="shared" si="0"/>
        <v/>
      </c>
      <c r="D25" s="147" t="str">
        <f t="shared" si="1"/>
        <v/>
      </c>
      <c r="E25" s="116" t="str">
        <f t="shared" si="4"/>
        <v/>
      </c>
      <c r="F25" s="119" t="str">
        <f t="shared" si="2"/>
        <v/>
      </c>
      <c r="G25" s="137" t="str">
        <f>IF($C25="","",SUMIF('Informe - Planilla'!$D:$D,$C25,'Informe - Planilla'!$O:$O))</f>
        <v/>
      </c>
      <c r="H25" s="143" t="str">
        <f t="shared" si="3"/>
        <v/>
      </c>
      <c r="I25" s="123" t="str">
        <f t="shared" si="5"/>
        <v/>
      </c>
      <c r="J25" s="75"/>
      <c r="K25" s="69"/>
    </row>
    <row r="26" spans="1:12" x14ac:dyDescent="0.2">
      <c r="B26" s="140"/>
      <c r="C26" s="126" t="str">
        <f t="shared" si="0"/>
        <v/>
      </c>
      <c r="D26" s="147" t="str">
        <f t="shared" si="1"/>
        <v/>
      </c>
      <c r="E26" s="116" t="str">
        <f t="shared" si="4"/>
        <v/>
      </c>
      <c r="F26" s="119" t="str">
        <f t="shared" si="2"/>
        <v/>
      </c>
      <c r="G26" s="137" t="str">
        <f>IF($C26="","",SUMIF('Informe - Planilla'!$D:$D,$C26,'Informe - Planilla'!$O:$O))</f>
        <v/>
      </c>
      <c r="H26" s="143" t="str">
        <f t="shared" si="3"/>
        <v/>
      </c>
      <c r="I26" s="123" t="str">
        <f t="shared" si="5"/>
        <v/>
      </c>
      <c r="J26" s="75"/>
      <c r="K26" s="69"/>
    </row>
    <row r="27" spans="1:12" x14ac:dyDescent="0.2">
      <c r="B27" s="140"/>
      <c r="C27" s="126" t="str">
        <f t="shared" si="0"/>
        <v/>
      </c>
      <c r="D27" s="147" t="str">
        <f t="shared" si="1"/>
        <v/>
      </c>
      <c r="E27" s="116" t="str">
        <f t="shared" si="4"/>
        <v/>
      </c>
      <c r="F27" s="119" t="str">
        <f t="shared" si="2"/>
        <v/>
      </c>
      <c r="G27" s="137" t="str">
        <f>IF($C27="","",SUMIF('Informe - Planilla'!$D:$D,$C27,'Informe - Planilla'!$O:$O))</f>
        <v/>
      </c>
      <c r="H27" s="143" t="str">
        <f t="shared" si="3"/>
        <v/>
      </c>
      <c r="I27" s="123" t="str">
        <f t="shared" si="5"/>
        <v/>
      </c>
      <c r="J27" s="75"/>
      <c r="K27" s="69"/>
    </row>
    <row r="28" spans="1:12" x14ac:dyDescent="0.2">
      <c r="B28" s="140"/>
      <c r="C28" s="126" t="str">
        <f t="shared" si="0"/>
        <v/>
      </c>
      <c r="D28" s="147" t="str">
        <f t="shared" si="1"/>
        <v/>
      </c>
      <c r="E28" s="116" t="str">
        <f t="shared" si="4"/>
        <v/>
      </c>
      <c r="F28" s="119" t="str">
        <f t="shared" si="2"/>
        <v/>
      </c>
      <c r="G28" s="137" t="str">
        <f>IF($C28="","",SUMIF('Informe - Planilla'!$D:$D,$C28,'Informe - Planilla'!$O:$O))</f>
        <v/>
      </c>
      <c r="H28" s="143" t="str">
        <f t="shared" si="3"/>
        <v/>
      </c>
      <c r="I28" s="123" t="str">
        <f t="shared" si="5"/>
        <v/>
      </c>
      <c r="J28" s="75"/>
      <c r="K28" s="69"/>
    </row>
    <row r="29" spans="1:12" x14ac:dyDescent="0.2">
      <c r="B29" s="140"/>
      <c r="C29" s="126" t="str">
        <f t="shared" si="0"/>
        <v/>
      </c>
      <c r="D29" s="147" t="str">
        <f t="shared" si="1"/>
        <v/>
      </c>
      <c r="E29" s="116" t="str">
        <f t="shared" si="4"/>
        <v/>
      </c>
      <c r="F29" s="119" t="str">
        <f t="shared" si="2"/>
        <v/>
      </c>
      <c r="G29" s="137" t="str">
        <f>IF($C29="","",SUMIF('Informe - Planilla'!$D:$D,$C29,'Informe - Planilla'!$O:$O))</f>
        <v/>
      </c>
      <c r="H29" s="143" t="str">
        <f t="shared" si="3"/>
        <v/>
      </c>
      <c r="I29" s="123" t="str">
        <f t="shared" si="5"/>
        <v/>
      </c>
      <c r="J29" s="75"/>
      <c r="K29" s="69"/>
    </row>
    <row r="30" spans="1:12" x14ac:dyDescent="0.2">
      <c r="B30" s="140"/>
      <c r="C30" s="126" t="str">
        <f t="shared" si="0"/>
        <v/>
      </c>
      <c r="D30" s="147" t="str">
        <f t="shared" si="1"/>
        <v/>
      </c>
      <c r="E30" s="116" t="str">
        <f t="shared" si="4"/>
        <v/>
      </c>
      <c r="F30" s="119" t="str">
        <f t="shared" si="2"/>
        <v/>
      </c>
      <c r="G30" s="137" t="str">
        <f>IF($C30="","",SUMIF('Informe - Planilla'!$D:$D,$C30,'Informe - Planilla'!$O:$O))</f>
        <v/>
      </c>
      <c r="H30" s="143" t="str">
        <f t="shared" si="3"/>
        <v/>
      </c>
      <c r="I30" s="123" t="str">
        <f t="shared" si="5"/>
        <v/>
      </c>
      <c r="J30" s="75"/>
      <c r="K30" s="69"/>
    </row>
    <row r="31" spans="1:12" x14ac:dyDescent="0.2">
      <c r="B31" s="140"/>
      <c r="C31" s="126" t="str">
        <f t="shared" si="0"/>
        <v/>
      </c>
      <c r="D31" s="147" t="str">
        <f t="shared" si="1"/>
        <v/>
      </c>
      <c r="E31" s="116" t="str">
        <f t="shared" si="4"/>
        <v/>
      </c>
      <c r="F31" s="119" t="str">
        <f t="shared" si="2"/>
        <v/>
      </c>
      <c r="G31" s="137" t="str">
        <f>IF($C31="","",SUMIF('Informe - Planilla'!$D:$D,$C31,'Informe - Planilla'!$O:$O))</f>
        <v/>
      </c>
      <c r="H31" s="143" t="str">
        <f t="shared" si="3"/>
        <v/>
      </c>
      <c r="I31" s="123" t="str">
        <f t="shared" si="5"/>
        <v/>
      </c>
      <c r="J31" s="75"/>
      <c r="K31" s="69"/>
    </row>
    <row r="32" spans="1:12" x14ac:dyDescent="0.2">
      <c r="B32" s="140"/>
      <c r="C32" s="126" t="str">
        <f t="shared" si="0"/>
        <v/>
      </c>
      <c r="D32" s="147" t="str">
        <f t="shared" si="1"/>
        <v/>
      </c>
      <c r="E32" s="116" t="str">
        <f t="shared" si="4"/>
        <v/>
      </c>
      <c r="F32" s="120" t="str">
        <f t="shared" si="2"/>
        <v/>
      </c>
      <c r="G32" s="137" t="str">
        <f>IF($C32="","",SUMIF('Informe - Planilla'!$D:$D,$C32,'Informe - Planilla'!$O:$O))</f>
        <v/>
      </c>
      <c r="H32" s="143" t="str">
        <f t="shared" si="3"/>
        <v/>
      </c>
      <c r="I32" s="123" t="str">
        <f t="shared" si="5"/>
        <v/>
      </c>
      <c r="J32" s="75"/>
      <c r="K32" s="69"/>
    </row>
    <row r="33" spans="1:19" x14ac:dyDescent="0.2">
      <c r="B33" s="140"/>
      <c r="C33" s="126" t="str">
        <f t="shared" si="0"/>
        <v/>
      </c>
      <c r="D33" s="147" t="str">
        <f t="shared" si="1"/>
        <v/>
      </c>
      <c r="E33" s="116" t="str">
        <f t="shared" si="4"/>
        <v/>
      </c>
      <c r="F33" s="120" t="str">
        <f t="shared" si="2"/>
        <v/>
      </c>
      <c r="G33" s="137" t="str">
        <f>IF($C33="","",SUMIF('Informe - Planilla'!$D:$D,$C33,'Informe - Planilla'!$O:$O))</f>
        <v/>
      </c>
      <c r="H33" s="143" t="str">
        <f t="shared" si="3"/>
        <v/>
      </c>
      <c r="I33" s="123" t="str">
        <f t="shared" si="5"/>
        <v/>
      </c>
      <c r="J33" s="75"/>
      <c r="K33" s="69"/>
    </row>
    <row r="34" spans="1:19" ht="15.75" thickBot="1" x14ac:dyDescent="0.25">
      <c r="B34" s="141"/>
      <c r="C34" s="127" t="str">
        <f t="shared" si="0"/>
        <v/>
      </c>
      <c r="D34" s="148" t="str">
        <f t="shared" si="1"/>
        <v/>
      </c>
      <c r="E34" s="117" t="str">
        <f t="shared" si="4"/>
        <v/>
      </c>
      <c r="F34" s="121" t="str">
        <f t="shared" si="2"/>
        <v/>
      </c>
      <c r="G34" s="138" t="str">
        <f>IF($C34="","",SUMIF('Informe - Planilla'!$D:$D,$C34,'Informe - Planilla'!$O:$O))</f>
        <v/>
      </c>
      <c r="H34" s="144" t="str">
        <f t="shared" si="3"/>
        <v/>
      </c>
      <c r="I34" s="124" t="str">
        <f t="shared" si="5"/>
        <v/>
      </c>
      <c r="J34" s="75"/>
      <c r="K34" s="69"/>
      <c r="L34" s="8"/>
    </row>
    <row r="35" spans="1:19" ht="16.5" customHeight="1" x14ac:dyDescent="0.2">
      <c r="A35" s="4"/>
      <c r="B35" s="4"/>
      <c r="C35" s="4"/>
      <c r="D35" s="4"/>
      <c r="E35" s="4"/>
      <c r="F35" s="9"/>
      <c r="G35" s="162">
        <f>SUM(I20:I34)</f>
        <v>35800</v>
      </c>
      <c r="H35" s="162"/>
      <c r="I35" s="162"/>
      <c r="J35" s="75"/>
      <c r="K35" s="69"/>
      <c r="L35" s="8"/>
    </row>
    <row r="36" spans="1:19" x14ac:dyDescent="0.2">
      <c r="A36" s="4"/>
      <c r="B36" s="9"/>
      <c r="C36" s="9"/>
      <c r="D36" s="9"/>
      <c r="E36" s="4"/>
      <c r="F36" s="4"/>
      <c r="G36" s="4"/>
      <c r="H36" s="4"/>
      <c r="I36" s="4"/>
      <c r="J36" s="75"/>
      <c r="K36" s="69"/>
      <c r="L36" s="8"/>
      <c r="M36" s="8"/>
      <c r="P36" s="8"/>
    </row>
    <row r="37" spans="1:19" s="8" customFormat="1" x14ac:dyDescent="0.2">
      <c r="A37" s="6"/>
      <c r="B37" s="114"/>
      <c r="C37" s="114"/>
      <c r="D37" s="114"/>
      <c r="E37" s="114"/>
      <c r="F37" s="114"/>
      <c r="G37" s="114"/>
      <c r="H37" s="114"/>
      <c r="I37" s="114"/>
      <c r="J37" s="114"/>
      <c r="K37" s="69"/>
    </row>
    <row r="38" spans="1:19" x14ac:dyDescent="0.2">
      <c r="A38" s="163" t="s">
        <v>150</v>
      </c>
      <c r="B38" s="163"/>
      <c r="C38" s="163"/>
      <c r="D38" s="163"/>
      <c r="E38" s="163"/>
      <c r="F38" s="163"/>
      <c r="G38" s="163"/>
      <c r="H38" s="163"/>
      <c r="K38" s="69"/>
      <c r="L38" s="8"/>
    </row>
    <row r="39" spans="1:19" s="8" customFormat="1" x14ac:dyDescent="0.2">
      <c r="A39" s="4"/>
      <c r="B39" s="4"/>
      <c r="C39" s="4"/>
      <c r="D39" s="4"/>
      <c r="E39" s="4"/>
      <c r="F39" s="4"/>
      <c r="G39" s="4"/>
      <c r="H39" s="4"/>
      <c r="I39" s="4"/>
      <c r="J39" s="4"/>
      <c r="K39" s="69"/>
      <c r="M39" s="9"/>
      <c r="N39" s="9"/>
      <c r="O39" s="9"/>
      <c r="P39" s="9"/>
      <c r="Q39" s="9"/>
      <c r="R39" s="9"/>
      <c r="S39" s="9"/>
    </row>
    <row r="40" spans="1:19" s="8" customFormat="1" ht="60" customHeight="1" x14ac:dyDescent="0.2">
      <c r="A40" s="178" t="s">
        <v>104</v>
      </c>
      <c r="B40" s="178"/>
      <c r="C40" s="178"/>
      <c r="D40" s="178"/>
      <c r="E40" s="178"/>
      <c r="F40" s="178"/>
      <c r="G40" s="178"/>
      <c r="H40" s="178"/>
      <c r="I40" s="178"/>
      <c r="J40" s="178"/>
      <c r="K40" s="178"/>
      <c r="M40" s="9"/>
      <c r="S40" s="9"/>
    </row>
    <row r="41" spans="1:19" s="8" customFormat="1" ht="65.25" customHeight="1" x14ac:dyDescent="0.2">
      <c r="A41" s="179" t="s">
        <v>178</v>
      </c>
      <c r="B41" s="179"/>
      <c r="C41" s="179"/>
      <c r="D41" s="179"/>
      <c r="E41" s="179"/>
      <c r="F41" s="179"/>
      <c r="G41" s="179"/>
      <c r="H41" s="179"/>
      <c r="I41" s="179"/>
      <c r="J41" s="179"/>
      <c r="K41" s="179"/>
      <c r="M41" s="3"/>
      <c r="N41" s="3"/>
      <c r="O41" s="3"/>
      <c r="P41" s="3"/>
      <c r="Q41" s="9"/>
      <c r="R41" s="9"/>
      <c r="S41" s="9"/>
    </row>
    <row r="42" spans="1:19" s="8" customFormat="1" x14ac:dyDescent="0.2">
      <c r="A42" s="76"/>
      <c r="B42" s="76"/>
      <c r="C42" s="76"/>
      <c r="D42" s="76"/>
      <c r="E42" s="76"/>
      <c r="F42" s="76"/>
      <c r="G42" s="76"/>
      <c r="H42" s="76"/>
      <c r="I42" s="76"/>
      <c r="J42" s="76"/>
      <c r="K42" s="69"/>
      <c r="L42" s="3"/>
      <c r="M42" s="3"/>
      <c r="N42" s="3"/>
      <c r="O42" s="3"/>
      <c r="P42" s="3"/>
      <c r="Q42" s="9"/>
      <c r="R42" s="9"/>
      <c r="S42" s="9"/>
    </row>
    <row r="43" spans="1:19" ht="15.75" thickBot="1" x14ac:dyDescent="0.25">
      <c r="A43" s="7"/>
      <c r="B43" s="7"/>
      <c r="C43" s="7"/>
      <c r="D43" s="7"/>
      <c r="E43" s="7"/>
      <c r="F43" s="7"/>
      <c r="G43" s="7"/>
      <c r="H43" s="7"/>
      <c r="I43" s="7"/>
      <c r="J43" s="7"/>
      <c r="K43" s="7"/>
    </row>
    <row r="44" spans="1:19" x14ac:dyDescent="0.2">
      <c r="K44" s="69"/>
    </row>
    <row r="45" spans="1:19" ht="15.75" x14ac:dyDescent="0.2">
      <c r="B45" s="173" t="s">
        <v>80</v>
      </c>
      <c r="C45" s="173"/>
      <c r="D45" s="171"/>
      <c r="E45" s="171"/>
      <c r="F45" s="171"/>
      <c r="G45" s="171"/>
      <c r="H45" s="171"/>
      <c r="I45" s="84"/>
      <c r="J45" s="84"/>
      <c r="K45" s="69"/>
    </row>
    <row r="46" spans="1:19" x14ac:dyDescent="0.2">
      <c r="B46" s="1"/>
      <c r="C46" s="1"/>
      <c r="K46" s="69"/>
    </row>
    <row r="47" spans="1:19" x14ac:dyDescent="0.2">
      <c r="B47" s="73"/>
      <c r="C47" s="74" t="s">
        <v>53</v>
      </c>
      <c r="D47" s="171" t="str">
        <f>'Informe - Planilla'!D4:H4</f>
        <v>Nombre de remitente</v>
      </c>
      <c r="E47" s="171"/>
      <c r="F47" s="171"/>
      <c r="G47" s="171"/>
      <c r="H47" s="171"/>
      <c r="I47" s="84"/>
      <c r="J47" s="84"/>
      <c r="K47" s="69"/>
    </row>
    <row r="48" spans="1:19" x14ac:dyDescent="0.2">
      <c r="B48" s="1"/>
      <c r="C48" s="1"/>
      <c r="K48" s="69"/>
    </row>
    <row r="49" spans="2:11" x14ac:dyDescent="0.2">
      <c r="B49" s="1"/>
      <c r="C49" s="74" t="s">
        <v>52</v>
      </c>
      <c r="D49" s="171"/>
      <c r="E49" s="171"/>
      <c r="F49" s="171"/>
      <c r="G49" s="171"/>
      <c r="H49" s="171"/>
      <c r="I49" s="84"/>
      <c r="J49" s="84"/>
      <c r="K49" s="69"/>
    </row>
    <row r="50" spans="2:11" x14ac:dyDescent="0.2">
      <c r="K50" s="69"/>
    </row>
  </sheetData>
  <sheetProtection algorithmName="SHA-512" hashValue="Kc0xBd2IGPbXYl8acnon/JaT1N8tgL+4QnQRl2r0Cbpn6D1r7+qaQDzKK6xq09LpxPpTmStB/uBTv0E2W6Zpxw==" saltValue="Ur2tS8qJNDnh5h5EseFlBQ==" spinCount="100000" sheet="1" objects="1" scenarios="1" formatCells="0" selectLockedCells="1"/>
  <dataConsolidate/>
  <mergeCells count="24">
    <mergeCell ref="D49:H49"/>
    <mergeCell ref="A3:D3"/>
    <mergeCell ref="E3:H3"/>
    <mergeCell ref="B45:C45"/>
    <mergeCell ref="D45:H45"/>
    <mergeCell ref="D47:H47"/>
    <mergeCell ref="A4:D4"/>
    <mergeCell ref="E4:H4"/>
    <mergeCell ref="A6:H6"/>
    <mergeCell ref="A11:H11"/>
    <mergeCell ref="A15:H15"/>
    <mergeCell ref="A40:K40"/>
    <mergeCell ref="A41:K41"/>
    <mergeCell ref="A9:K9"/>
    <mergeCell ref="I5:K5"/>
    <mergeCell ref="G35:I35"/>
    <mergeCell ref="A38:H38"/>
    <mergeCell ref="A17:K17"/>
    <mergeCell ref="A13:K13"/>
    <mergeCell ref="I2:K2"/>
    <mergeCell ref="I3:K3"/>
    <mergeCell ref="I6:K6"/>
    <mergeCell ref="I4:K4"/>
    <mergeCell ref="C19:D19"/>
  </mergeCells>
  <phoneticPr fontId="3" type="noConversion"/>
  <conditionalFormatting sqref="K7 K47:K50 K44:K45 K42 K10:K12 K14:K16 J18:K36">
    <cfRule type="cellIs" dxfId="54" priority="152" operator="equal">
      <formula>""</formula>
    </cfRule>
  </conditionalFormatting>
  <conditionalFormatting sqref="K46">
    <cfRule type="cellIs" dxfId="53" priority="148" operator="equal">
      <formula>""</formula>
    </cfRule>
  </conditionalFormatting>
  <conditionalFormatting sqref="K8">
    <cfRule type="cellIs" dxfId="52" priority="145" operator="equal">
      <formula>""</formula>
    </cfRule>
  </conditionalFormatting>
  <conditionalFormatting sqref="I20:I34">
    <cfRule type="expression" dxfId="51" priority="1495">
      <formula>$E20=""</formula>
    </cfRule>
  </conditionalFormatting>
  <conditionalFormatting sqref="B20:I34">
    <cfRule type="expression" dxfId="50" priority="1503">
      <formula>$G20="-"</formula>
    </cfRule>
  </conditionalFormatting>
  <conditionalFormatting sqref="K38:K39">
    <cfRule type="cellIs" dxfId="49" priority="2" operator="equal">
      <formula>""</formula>
    </cfRule>
  </conditionalFormatting>
  <conditionalFormatting sqref="K37">
    <cfRule type="cellIs" dxfId="48" priority="1" operator="equal">
      <formula>""</formula>
    </cfRule>
  </conditionalFormatting>
  <pageMargins left="0.47244094488188981" right="0.47244094488188981" top="1.1811023622047245" bottom="0.78740157480314965" header="0.59055118110236227" footer="0.39370078740157483"/>
  <pageSetup scale="74" fitToHeight="0" pageOrder="overThenDown" orientation="portrait" r:id="rId1"/>
  <headerFooter>
    <oddHeader>&amp;L&amp;F
&amp;A
&amp;R&amp;G</oddHeader>
    <oddFooter>&amp;L&amp;"Arial,Negrita"&amp;12Hilti Colombia S.A.S&amp;"Arial,Normal"&amp;10
&amp;"Arial,Cursiva"Departamento de Ingeniería&amp;C Página &amp;P de &amp;N&amp;R&amp;12&amp;K01+023Informe de especificación Hilti&amp;10&amp;K01+000
&amp;"Arial,Cursiva"&amp;KD10024Sellos Cortafuego</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Referencias!$S$7:$S$31</xm:f>
          </x14:formula1>
          <xm:sqref>B20:B34</xm:sqref>
        </x14:dataValidation>
      </x14:dataValidations>
    </ext>
    <ext xmlns:mx="http://schemas.microsoft.com/office/mac/excel/2008/main" uri="{64002731-A6B0-56B0-2670-7721B7C09600}">
      <mx:PLV Mode="1" OnePage="0" WScale="10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3:AW55"/>
  <sheetViews>
    <sheetView showGridLines="0" workbookViewId="0">
      <selection activeCell="X7" sqref="X7"/>
    </sheetView>
  </sheetViews>
  <sheetFormatPr defaultColWidth="9.140625" defaultRowHeight="12.75" x14ac:dyDescent="0.2"/>
  <cols>
    <col min="1" max="2" width="2.7109375" style="2" customWidth="1"/>
    <col min="3" max="3" width="20" style="2" bestFit="1" customWidth="1"/>
    <col min="4" max="4" width="2.7109375" style="2" customWidth="1"/>
    <col min="5" max="5" width="3.7109375" style="2" customWidth="1"/>
    <col min="6" max="6" width="2.7109375" style="2" customWidth="1"/>
    <col min="7" max="7" width="31" style="2" bestFit="1" customWidth="1"/>
    <col min="8" max="8" width="2.7109375" style="2" customWidth="1"/>
    <col min="9" max="9" width="3.7109375" style="2" customWidth="1"/>
    <col min="10" max="10" width="2.7109375" style="2" customWidth="1"/>
    <col min="11" max="11" width="23.28515625" style="2" bestFit="1" customWidth="1"/>
    <col min="12" max="12" width="2.7109375" style="2" customWidth="1"/>
    <col min="13" max="13" width="3.7109375" style="2" customWidth="1"/>
    <col min="14" max="14" width="2.7109375" style="2" customWidth="1"/>
    <col min="15" max="15" width="25.7109375" style="2" customWidth="1"/>
    <col min="16" max="16" width="2.7109375" style="2" customWidth="1"/>
    <col min="17" max="17" width="3.7109375" style="2" customWidth="1"/>
    <col min="18" max="18" width="2.7109375" style="2" customWidth="1"/>
    <col min="19" max="19" width="8" style="2" bestFit="1" customWidth="1"/>
    <col min="20" max="20" width="15.85546875" style="2" bestFit="1" customWidth="1"/>
    <col min="21" max="21" width="19" style="2" bestFit="1" customWidth="1"/>
    <col min="22" max="22" width="11" style="2" bestFit="1" customWidth="1"/>
    <col min="23" max="23" width="6.42578125" style="2" bestFit="1" customWidth="1"/>
    <col min="24" max="24" width="11.42578125" style="2" customWidth="1"/>
    <col min="25" max="25" width="2.7109375" style="2" customWidth="1"/>
    <col min="26" max="26" width="3.7109375" style="2" customWidth="1"/>
    <col min="27" max="27" width="2.7109375" style="2" customWidth="1"/>
    <col min="28" max="28" width="9.140625" style="2"/>
    <col min="29" max="29" width="7.7109375" style="2" customWidth="1"/>
    <col min="30" max="31" width="6.7109375" style="2" customWidth="1"/>
    <col min="32" max="32" width="5.7109375" style="2" customWidth="1"/>
    <col min="33" max="33" width="2.7109375" style="2" customWidth="1"/>
    <col min="34" max="34" width="3.7109375" style="2" customWidth="1"/>
    <col min="35" max="35" width="2.7109375" style="2" customWidth="1"/>
    <col min="36" max="36" width="9.140625" style="2"/>
    <col min="37" max="37" width="7.7109375" style="2" customWidth="1"/>
    <col min="38" max="39" width="6.7109375" style="2" customWidth="1"/>
    <col min="40" max="40" width="5.7109375" style="2" customWidth="1"/>
    <col min="41" max="41" width="2.7109375" style="2" customWidth="1"/>
    <col min="42" max="42" width="3.7109375" style="2" customWidth="1"/>
    <col min="43" max="43" width="2.7109375" style="2" customWidth="1"/>
    <col min="44" max="44" width="10.7109375" style="2" customWidth="1"/>
    <col min="45" max="45" width="9.7109375" style="2" customWidth="1"/>
    <col min="46" max="46" width="11.28515625" style="2" customWidth="1"/>
    <col min="47" max="47" width="9.85546875" style="2" customWidth="1"/>
    <col min="48" max="48" width="9.5703125" style="2" customWidth="1"/>
    <col min="49" max="49" width="2.7109375" style="2" customWidth="1"/>
    <col min="50" max="50" width="3.7109375" style="2" customWidth="1"/>
    <col min="51" max="52" width="9.140625" style="2"/>
    <col min="53" max="53" width="9.7109375" style="2" customWidth="1"/>
    <col min="54" max="57" width="9.140625" style="2"/>
    <col min="58" max="58" width="15.140625" style="2" bestFit="1" customWidth="1"/>
    <col min="59" max="16384" width="9.140625" style="2"/>
  </cols>
  <sheetData>
    <row r="3" spans="2:49" ht="13.5" thickBot="1" x14ac:dyDescent="0.25">
      <c r="C3" s="10"/>
      <c r="D3" s="10"/>
      <c r="E3" s="10"/>
      <c r="G3" s="10"/>
      <c r="H3" s="10"/>
      <c r="I3" s="10"/>
      <c r="J3" s="10"/>
      <c r="K3" s="10"/>
      <c r="L3" s="10"/>
      <c r="N3" s="10"/>
      <c r="P3" s="10"/>
      <c r="R3" s="10"/>
      <c r="Y3" s="10"/>
    </row>
    <row r="4" spans="2:49" ht="13.5" thickBot="1" x14ac:dyDescent="0.25">
      <c r="B4" s="181" t="s">
        <v>153</v>
      </c>
      <c r="C4" s="182"/>
      <c r="D4" s="183"/>
      <c r="E4" s="10"/>
      <c r="F4" s="181" t="s">
        <v>157</v>
      </c>
      <c r="G4" s="182"/>
      <c r="H4" s="183"/>
      <c r="I4" s="10"/>
      <c r="J4" s="181" t="s">
        <v>164</v>
      </c>
      <c r="K4" s="182"/>
      <c r="L4" s="183"/>
      <c r="N4" s="181" t="s">
        <v>6</v>
      </c>
      <c r="O4" s="182"/>
      <c r="P4" s="183"/>
      <c r="R4" s="181" t="s">
        <v>7</v>
      </c>
      <c r="S4" s="182"/>
      <c r="T4" s="182"/>
      <c r="U4" s="182"/>
      <c r="V4" s="182"/>
      <c r="W4" s="182"/>
      <c r="X4" s="182"/>
      <c r="Y4" s="183"/>
      <c r="AA4" s="181" t="s">
        <v>22</v>
      </c>
      <c r="AB4" s="182"/>
      <c r="AC4" s="182"/>
      <c r="AD4" s="182"/>
      <c r="AE4" s="182"/>
      <c r="AF4" s="182"/>
      <c r="AG4" s="183"/>
      <c r="AI4" s="181" t="s">
        <v>36</v>
      </c>
      <c r="AJ4" s="182"/>
      <c r="AK4" s="182"/>
      <c r="AL4" s="182"/>
      <c r="AM4" s="182"/>
      <c r="AN4" s="182"/>
      <c r="AO4" s="183"/>
      <c r="AQ4" s="181" t="s">
        <v>78</v>
      </c>
      <c r="AR4" s="182"/>
      <c r="AS4" s="182"/>
      <c r="AT4" s="182"/>
      <c r="AU4" s="182"/>
      <c r="AV4" s="182"/>
      <c r="AW4" s="183"/>
    </row>
    <row r="5" spans="2:49" ht="12.75" customHeight="1" x14ac:dyDescent="0.2">
      <c r="B5" s="11"/>
      <c r="C5" s="12"/>
      <c r="D5" s="13"/>
      <c r="F5" s="11"/>
      <c r="G5" s="12"/>
      <c r="H5" s="13"/>
      <c r="J5" s="11"/>
      <c r="K5" s="12"/>
      <c r="L5" s="13"/>
      <c r="N5" s="11"/>
      <c r="O5" s="12"/>
      <c r="P5" s="13"/>
      <c r="R5" s="11"/>
      <c r="S5" s="132"/>
      <c r="T5" s="12"/>
      <c r="U5" s="132"/>
      <c r="V5" s="132"/>
      <c r="W5" s="14"/>
      <c r="X5" s="132"/>
      <c r="Y5" s="13"/>
      <c r="AA5" s="11"/>
      <c r="AB5" s="185" t="s">
        <v>26</v>
      </c>
      <c r="AC5" s="185"/>
      <c r="AD5" s="185"/>
      <c r="AE5" s="185"/>
      <c r="AF5" s="185"/>
      <c r="AG5" s="13"/>
      <c r="AI5" s="11"/>
      <c r="AJ5" s="185" t="s">
        <v>37</v>
      </c>
      <c r="AK5" s="185"/>
      <c r="AL5" s="185"/>
      <c r="AM5" s="185"/>
      <c r="AN5" s="185"/>
      <c r="AO5" s="13"/>
      <c r="AQ5" s="11"/>
      <c r="AR5" s="185" t="s">
        <v>130</v>
      </c>
      <c r="AS5" s="185"/>
      <c r="AT5" s="185"/>
      <c r="AU5" s="185"/>
      <c r="AV5" s="185"/>
      <c r="AW5" s="13"/>
    </row>
    <row r="6" spans="2:49" x14ac:dyDescent="0.2">
      <c r="B6" s="11"/>
      <c r="C6" s="12" t="s">
        <v>154</v>
      </c>
      <c r="D6" s="15"/>
      <c r="F6" s="11"/>
      <c r="G6" s="12" t="s">
        <v>165</v>
      </c>
      <c r="H6" s="15"/>
      <c r="J6" s="11"/>
      <c r="K6" s="12" t="s">
        <v>1</v>
      </c>
      <c r="L6" s="13"/>
      <c r="N6" s="11"/>
      <c r="O6" s="16" t="s">
        <v>81</v>
      </c>
      <c r="P6" s="13"/>
      <c r="R6" s="11"/>
      <c r="S6" s="131" t="s">
        <v>135</v>
      </c>
      <c r="T6" s="131" t="s">
        <v>139</v>
      </c>
      <c r="U6" s="135" t="s">
        <v>137</v>
      </c>
      <c r="V6" s="131" t="s">
        <v>136</v>
      </c>
      <c r="W6" s="131" t="s">
        <v>131</v>
      </c>
      <c r="X6" s="135" t="s">
        <v>138</v>
      </c>
      <c r="Y6" s="13"/>
      <c r="AA6" s="11"/>
      <c r="AB6" s="186"/>
      <c r="AC6" s="186"/>
      <c r="AD6" s="186"/>
      <c r="AE6" s="186"/>
      <c r="AF6" s="186"/>
      <c r="AG6" s="13"/>
      <c r="AI6" s="11"/>
      <c r="AJ6" s="186"/>
      <c r="AK6" s="186"/>
      <c r="AL6" s="186"/>
      <c r="AM6" s="186"/>
      <c r="AN6" s="186"/>
      <c r="AO6" s="13"/>
      <c r="AQ6" s="11"/>
      <c r="AR6" s="186"/>
      <c r="AS6" s="186"/>
      <c r="AT6" s="186"/>
      <c r="AU6" s="186"/>
      <c r="AV6" s="186"/>
      <c r="AW6" s="13"/>
    </row>
    <row r="7" spans="2:49" x14ac:dyDescent="0.2">
      <c r="B7" s="11"/>
      <c r="C7" s="12" t="s">
        <v>163</v>
      </c>
      <c r="D7" s="15"/>
      <c r="F7" s="11"/>
      <c r="G7" s="12" t="s">
        <v>158</v>
      </c>
      <c r="H7" s="15"/>
      <c r="J7" s="11"/>
      <c r="K7" s="12" t="s">
        <v>4</v>
      </c>
      <c r="L7" s="13"/>
      <c r="N7" s="11"/>
      <c r="O7" s="16" t="s">
        <v>85</v>
      </c>
      <c r="P7" s="13"/>
      <c r="R7" s="11"/>
      <c r="S7" s="113">
        <v>236993</v>
      </c>
      <c r="T7" s="134" t="s">
        <v>120</v>
      </c>
      <c r="U7" s="12" t="s">
        <v>180</v>
      </c>
      <c r="V7" s="133">
        <f>122*61*10</f>
        <v>74420</v>
      </c>
      <c r="W7" s="12" t="s">
        <v>125</v>
      </c>
      <c r="X7" s="196">
        <v>35800</v>
      </c>
      <c r="Y7" s="13"/>
      <c r="AA7" s="11"/>
      <c r="AB7" s="186"/>
      <c r="AC7" s="186"/>
      <c r="AD7" s="186"/>
      <c r="AE7" s="186"/>
      <c r="AF7" s="186"/>
      <c r="AG7" s="13"/>
      <c r="AI7" s="11"/>
      <c r="AJ7" s="186"/>
      <c r="AK7" s="186"/>
      <c r="AL7" s="186"/>
      <c r="AM7" s="186"/>
      <c r="AN7" s="186"/>
      <c r="AO7" s="13"/>
      <c r="AQ7" s="11"/>
      <c r="AR7" s="186"/>
      <c r="AS7" s="186"/>
      <c r="AT7" s="186"/>
      <c r="AU7" s="186"/>
      <c r="AV7" s="186"/>
      <c r="AW7" s="13"/>
    </row>
    <row r="8" spans="2:49" x14ac:dyDescent="0.2">
      <c r="B8" s="11"/>
      <c r="C8" s="12" t="s">
        <v>155</v>
      </c>
      <c r="D8" s="15"/>
      <c r="F8" s="11"/>
      <c r="G8" s="12" t="s">
        <v>159</v>
      </c>
      <c r="H8" s="15"/>
      <c r="J8" s="11"/>
      <c r="K8" s="12" t="s">
        <v>5</v>
      </c>
      <c r="L8" s="13"/>
      <c r="N8" s="11"/>
      <c r="O8" s="16" t="s">
        <v>82</v>
      </c>
      <c r="P8" s="13"/>
      <c r="R8" s="11"/>
      <c r="S8" s="113">
        <v>2005479</v>
      </c>
      <c r="T8" s="134" t="s">
        <v>149</v>
      </c>
      <c r="U8" s="12" t="s">
        <v>140</v>
      </c>
      <c r="V8" s="133">
        <v>45307</v>
      </c>
      <c r="W8" s="12" t="s">
        <v>125</v>
      </c>
      <c r="X8" s="196">
        <v>44900</v>
      </c>
      <c r="Y8" s="13"/>
      <c r="AA8" s="11"/>
      <c r="AB8" s="12"/>
      <c r="AC8" s="12"/>
      <c r="AD8" s="12"/>
      <c r="AE8" s="12"/>
      <c r="AF8" s="12"/>
      <c r="AG8" s="13"/>
      <c r="AI8" s="11"/>
      <c r="AJ8" s="12"/>
      <c r="AK8" s="12"/>
      <c r="AL8" s="12"/>
      <c r="AM8" s="12"/>
      <c r="AN8" s="12"/>
      <c r="AO8" s="13"/>
      <c r="AQ8" s="11"/>
      <c r="AR8" s="12"/>
      <c r="AS8" s="12"/>
      <c r="AT8" s="12"/>
      <c r="AU8" s="12"/>
      <c r="AV8" s="12"/>
      <c r="AW8" s="13"/>
    </row>
    <row r="9" spans="2:49" ht="13.5" thickBot="1" x14ac:dyDescent="0.25">
      <c r="B9" s="11"/>
      <c r="C9" s="12" t="s">
        <v>156</v>
      </c>
      <c r="D9" s="15"/>
      <c r="F9" s="11"/>
      <c r="G9" s="12" t="s">
        <v>160</v>
      </c>
      <c r="H9" s="15"/>
      <c r="J9" s="11"/>
      <c r="K9" s="12" t="s">
        <v>186</v>
      </c>
      <c r="L9" s="13"/>
      <c r="N9" s="11"/>
      <c r="O9" s="16" t="s">
        <v>79</v>
      </c>
      <c r="P9" s="13"/>
      <c r="R9" s="11"/>
      <c r="S9" s="113">
        <v>2101535</v>
      </c>
      <c r="T9" s="134" t="s">
        <v>108</v>
      </c>
      <c r="U9" s="12" t="s">
        <v>128</v>
      </c>
      <c r="V9" s="133">
        <v>600</v>
      </c>
      <c r="W9" s="12" t="s">
        <v>125</v>
      </c>
      <c r="X9" s="196">
        <v>132300</v>
      </c>
      <c r="Y9" s="13"/>
      <c r="AA9" s="11"/>
      <c r="AB9" s="12"/>
      <c r="AC9" s="12"/>
      <c r="AD9" s="12"/>
      <c r="AE9" s="12"/>
      <c r="AF9" s="12"/>
      <c r="AG9" s="13"/>
      <c r="AI9" s="11"/>
      <c r="AJ9" s="2" t="s">
        <v>40</v>
      </c>
      <c r="AK9" s="151">
        <v>3</v>
      </c>
      <c r="AL9" s="20">
        <v>1</v>
      </c>
      <c r="AM9" s="12"/>
      <c r="AN9" s="12"/>
      <c r="AO9" s="13"/>
      <c r="AQ9" s="11"/>
      <c r="AR9" s="193" t="s">
        <v>76</v>
      </c>
      <c r="AS9" s="193"/>
      <c r="AT9" s="194"/>
      <c r="AU9" s="21">
        <v>0</v>
      </c>
      <c r="AW9" s="13"/>
    </row>
    <row r="10" spans="2:49" x14ac:dyDescent="0.2">
      <c r="B10" s="11"/>
      <c r="C10" s="12" t="s">
        <v>55</v>
      </c>
      <c r="D10" s="15"/>
      <c r="F10" s="11"/>
      <c r="G10" s="12" t="s">
        <v>161</v>
      </c>
      <c r="H10" s="15"/>
      <c r="J10" s="11"/>
      <c r="K10" s="12" t="s">
        <v>181</v>
      </c>
      <c r="L10" s="13"/>
      <c r="N10" s="11"/>
      <c r="O10" s="16" t="s">
        <v>58</v>
      </c>
      <c r="P10" s="13"/>
      <c r="R10" s="11"/>
      <c r="S10" s="113">
        <v>2101536</v>
      </c>
      <c r="T10" s="134" t="s">
        <v>108</v>
      </c>
      <c r="U10" s="12" t="s">
        <v>129</v>
      </c>
      <c r="V10" s="133">
        <v>18927</v>
      </c>
      <c r="W10" s="12" t="s">
        <v>125</v>
      </c>
      <c r="X10" s="196">
        <v>2221400</v>
      </c>
      <c r="Y10" s="13"/>
      <c r="AA10" s="11"/>
      <c r="AB10" s="12"/>
      <c r="AC10" s="12"/>
      <c r="AD10" s="12"/>
      <c r="AE10" s="12"/>
      <c r="AF10" s="12"/>
      <c r="AG10" s="13"/>
      <c r="AI10" s="11"/>
      <c r="AJ10" s="12"/>
      <c r="AM10" s="12"/>
      <c r="AN10" s="12"/>
      <c r="AO10" s="13"/>
      <c r="AQ10" s="11"/>
      <c r="AR10" s="22" t="s">
        <v>71</v>
      </c>
      <c r="AS10" s="23" t="s">
        <v>66</v>
      </c>
      <c r="AT10" s="23" t="s">
        <v>67</v>
      </c>
      <c r="AU10" s="23" t="s">
        <v>68</v>
      </c>
      <c r="AV10" s="24" t="s">
        <v>69</v>
      </c>
      <c r="AW10" s="13"/>
    </row>
    <row r="11" spans="2:49" ht="13.5" thickBot="1" x14ac:dyDescent="0.25">
      <c r="B11" s="17"/>
      <c r="C11" s="18"/>
      <c r="D11" s="19"/>
      <c r="F11" s="11"/>
      <c r="G11" s="12" t="s">
        <v>162</v>
      </c>
      <c r="H11" s="15"/>
      <c r="J11" s="11"/>
      <c r="K11" s="12" t="s">
        <v>182</v>
      </c>
      <c r="L11" s="13"/>
      <c r="N11" s="11"/>
      <c r="O11" s="16" t="s">
        <v>59</v>
      </c>
      <c r="P11" s="13"/>
      <c r="R11" s="11"/>
      <c r="S11" s="113">
        <v>338725</v>
      </c>
      <c r="T11" s="134" t="s">
        <v>8</v>
      </c>
      <c r="U11" s="12" t="s">
        <v>141</v>
      </c>
      <c r="V11" s="133">
        <v>1803</v>
      </c>
      <c r="W11" s="12" t="s">
        <v>125</v>
      </c>
      <c r="X11" s="196">
        <v>230300</v>
      </c>
      <c r="Y11" s="13"/>
      <c r="AA11" s="11"/>
      <c r="AB11" s="12"/>
      <c r="AC11" s="12"/>
      <c r="AD11" s="12"/>
      <c r="AE11" s="12"/>
      <c r="AF11" s="12"/>
      <c r="AG11" s="13"/>
      <c r="AI11" s="11"/>
      <c r="AJ11" s="12"/>
      <c r="AK11" s="25">
        <v>13.6</v>
      </c>
      <c r="AL11" s="12" t="s">
        <v>38</v>
      </c>
      <c r="AM11" s="12"/>
      <c r="AN11" s="12"/>
      <c r="AO11" s="13"/>
      <c r="AQ11" s="11"/>
      <c r="AR11" s="26" t="s">
        <v>60</v>
      </c>
      <c r="AS11" s="27" t="s">
        <v>61</v>
      </c>
      <c r="AT11" s="27" t="s">
        <v>70</v>
      </c>
      <c r="AU11" s="27" t="s">
        <v>60</v>
      </c>
      <c r="AV11" s="28" t="s">
        <v>75</v>
      </c>
      <c r="AW11" s="13"/>
    </row>
    <row r="12" spans="2:49" ht="13.5" thickBot="1" x14ac:dyDescent="0.25">
      <c r="F12" s="11"/>
      <c r="G12" s="12" t="s">
        <v>187</v>
      </c>
      <c r="H12" s="15"/>
      <c r="J12" s="11"/>
      <c r="K12" s="12" t="s">
        <v>183</v>
      </c>
      <c r="L12" s="13"/>
      <c r="N12" s="11"/>
      <c r="O12" s="16" t="s">
        <v>83</v>
      </c>
      <c r="P12" s="13"/>
      <c r="R12" s="11"/>
      <c r="S12" s="113">
        <v>314721</v>
      </c>
      <c r="T12" s="134" t="s">
        <v>9</v>
      </c>
      <c r="U12" s="12" t="s">
        <v>33</v>
      </c>
      <c r="V12" s="133">
        <v>295</v>
      </c>
      <c r="W12" s="12" t="s">
        <v>125</v>
      </c>
      <c r="X12" s="196">
        <v>80500</v>
      </c>
      <c r="Y12" s="13"/>
      <c r="AA12" s="11"/>
      <c r="AB12" s="12"/>
      <c r="AC12" s="12"/>
      <c r="AD12" s="12"/>
      <c r="AE12" s="12"/>
      <c r="AF12" s="12"/>
      <c r="AG12" s="13"/>
      <c r="AI12" s="11"/>
      <c r="AJ12" s="12"/>
      <c r="AK12" s="29">
        <f>AK11/AK9</f>
        <v>4.5333333333333332</v>
      </c>
      <c r="AL12" s="12" t="s">
        <v>39</v>
      </c>
      <c r="AM12" s="12"/>
      <c r="AN12" s="12"/>
      <c r="AO12" s="13"/>
      <c r="AQ12" s="11"/>
      <c r="AR12" s="30">
        <v>100</v>
      </c>
      <c r="AS12" s="31">
        <f t="shared" ref="AS12:AS17" si="0">AVERAGE(AS43,AT43)</f>
        <v>7.1499999999999994E-2</v>
      </c>
      <c r="AT12" s="31">
        <f>+AS12/1</f>
        <v>7.1499999999999994E-2</v>
      </c>
      <c r="AU12" s="32">
        <f t="shared" ref="AU12:AU18" si="1">$AU$9</f>
        <v>0</v>
      </c>
      <c r="AV12" s="33">
        <f>((((AR12+AU12)/1000)*1)-AT12)*10000</f>
        <v>285.00000000000011</v>
      </c>
      <c r="AW12" s="13"/>
    </row>
    <row r="13" spans="2:49" x14ac:dyDescent="0.2">
      <c r="F13" s="11"/>
      <c r="G13" s="12" t="s">
        <v>55</v>
      </c>
      <c r="H13" s="15"/>
      <c r="J13" s="11"/>
      <c r="K13" s="12" t="s">
        <v>184</v>
      </c>
      <c r="L13" s="13"/>
      <c r="N13" s="11"/>
      <c r="O13" s="16" t="s">
        <v>88</v>
      </c>
      <c r="P13" s="13"/>
      <c r="R13" s="11"/>
      <c r="S13" s="113">
        <v>2030020</v>
      </c>
      <c r="T13" s="134" t="s">
        <v>10</v>
      </c>
      <c r="U13" s="12" t="s">
        <v>34</v>
      </c>
      <c r="V13" s="133">
        <f>2*2.54*5*2.54*8*2.54</f>
        <v>1310.9651199999998</v>
      </c>
      <c r="W13" s="12" t="s">
        <v>125</v>
      </c>
      <c r="X13" s="196">
        <v>159200</v>
      </c>
      <c r="Y13" s="13"/>
      <c r="AA13" s="11"/>
      <c r="AB13" s="12"/>
      <c r="AC13" s="12"/>
      <c r="AD13" s="12"/>
      <c r="AE13" s="12"/>
      <c r="AF13" s="12"/>
      <c r="AG13" s="13"/>
      <c r="AI13" s="11"/>
      <c r="AJ13" s="12"/>
      <c r="AK13" s="25">
        <f>SUM(AK11:AK12)</f>
        <v>18.133333333333333</v>
      </c>
      <c r="AL13" s="12" t="s">
        <v>41</v>
      </c>
      <c r="AM13" s="12"/>
      <c r="AN13" s="12"/>
      <c r="AO13" s="13"/>
      <c r="AQ13" s="11"/>
      <c r="AR13" s="34">
        <v>110</v>
      </c>
      <c r="AS13" s="35">
        <f t="shared" si="0"/>
        <v>8.1500000000000003E-2</v>
      </c>
      <c r="AT13" s="35">
        <f t="shared" ref="AT13:AT17" si="2">+AS13/1</f>
        <v>8.1500000000000003E-2</v>
      </c>
      <c r="AU13" s="36">
        <f t="shared" si="1"/>
        <v>0</v>
      </c>
      <c r="AV13" s="37">
        <f t="shared" ref="AV13:AV17" si="3">((((AR13+AU13)/1000)*1)-AT13)*10000</f>
        <v>285</v>
      </c>
      <c r="AW13" s="13"/>
    </row>
    <row r="14" spans="2:49" ht="13.5" thickBot="1" x14ac:dyDescent="0.25">
      <c r="F14" s="17"/>
      <c r="G14" s="18"/>
      <c r="H14" s="19"/>
      <c r="J14" s="11"/>
      <c r="K14" s="12" t="s">
        <v>185</v>
      </c>
      <c r="L14" s="13"/>
      <c r="N14" s="11"/>
      <c r="O14" s="16" t="s">
        <v>84</v>
      </c>
      <c r="P14" s="13"/>
      <c r="R14" s="11"/>
      <c r="S14" s="113">
        <v>340645</v>
      </c>
      <c r="T14" s="134" t="s">
        <v>11</v>
      </c>
      <c r="U14" s="12" t="s">
        <v>35</v>
      </c>
      <c r="V14" s="133">
        <f>Referencias!$AK$32</f>
        <v>19603.603603603602</v>
      </c>
      <c r="W14" s="12" t="s">
        <v>125</v>
      </c>
      <c r="X14" s="196">
        <v>697400</v>
      </c>
      <c r="Y14" s="13"/>
      <c r="AA14" s="11"/>
      <c r="AB14" s="12"/>
      <c r="AC14" s="12"/>
      <c r="AD14" s="12"/>
      <c r="AE14" s="12"/>
      <c r="AF14" s="12"/>
      <c r="AG14" s="13"/>
      <c r="AI14" s="11"/>
      <c r="AJ14" s="12"/>
      <c r="AK14" s="12"/>
      <c r="AL14" s="12"/>
      <c r="AM14" s="12"/>
      <c r="AN14" s="12"/>
      <c r="AO14" s="13"/>
      <c r="AQ14" s="11"/>
      <c r="AR14" s="34">
        <v>120</v>
      </c>
      <c r="AS14" s="35">
        <f t="shared" si="0"/>
        <v>9.1499999999999998E-2</v>
      </c>
      <c r="AT14" s="35">
        <f t="shared" si="2"/>
        <v>9.1499999999999998E-2</v>
      </c>
      <c r="AU14" s="36">
        <f t="shared" si="1"/>
        <v>0</v>
      </c>
      <c r="AV14" s="37">
        <f t="shared" si="3"/>
        <v>285</v>
      </c>
      <c r="AW14" s="13"/>
    </row>
    <row r="15" spans="2:49" x14ac:dyDescent="0.2">
      <c r="J15" s="11"/>
      <c r="K15" s="12" t="s">
        <v>55</v>
      </c>
      <c r="L15" s="13"/>
      <c r="N15" s="11"/>
      <c r="O15" s="16" t="s">
        <v>87</v>
      </c>
      <c r="P15" s="13"/>
      <c r="R15" s="11"/>
      <c r="S15" s="113">
        <v>2076882</v>
      </c>
      <c r="T15" s="134" t="s">
        <v>103</v>
      </c>
      <c r="U15" s="12" t="s">
        <v>128</v>
      </c>
      <c r="V15" s="133">
        <v>600</v>
      </c>
      <c r="W15" s="12" t="s">
        <v>125</v>
      </c>
      <c r="X15" s="196">
        <v>79100</v>
      </c>
      <c r="Y15" s="13"/>
      <c r="AA15" s="11"/>
      <c r="AB15" s="12"/>
      <c r="AC15" s="12"/>
      <c r="AD15" s="12"/>
      <c r="AE15" s="12"/>
      <c r="AF15" s="12"/>
      <c r="AG15" s="13"/>
      <c r="AI15" s="11"/>
      <c r="AJ15" s="38" t="s">
        <v>42</v>
      </c>
      <c r="AK15" s="12"/>
      <c r="AL15" s="12"/>
      <c r="AM15" s="12"/>
      <c r="AN15" s="12"/>
      <c r="AO15" s="13"/>
      <c r="AQ15" s="11"/>
      <c r="AR15" s="34">
        <v>130</v>
      </c>
      <c r="AS15" s="35">
        <f t="shared" si="0"/>
        <v>0.10150000000000001</v>
      </c>
      <c r="AT15" s="35">
        <f t="shared" si="2"/>
        <v>0.10150000000000001</v>
      </c>
      <c r="AU15" s="36">
        <f t="shared" si="1"/>
        <v>0</v>
      </c>
      <c r="AV15" s="37">
        <f t="shared" si="3"/>
        <v>285</v>
      </c>
      <c r="AW15" s="13"/>
    </row>
    <row r="16" spans="2:49" ht="13.5" thickBot="1" x14ac:dyDescent="0.25">
      <c r="J16" s="17"/>
      <c r="K16" s="18"/>
      <c r="L16" s="19"/>
      <c r="N16" s="11"/>
      <c r="O16" s="16" t="s">
        <v>188</v>
      </c>
      <c r="P16" s="13"/>
      <c r="R16" s="11"/>
      <c r="S16" s="113">
        <v>2076883</v>
      </c>
      <c r="T16" s="134" t="s">
        <v>103</v>
      </c>
      <c r="U16" s="12" t="s">
        <v>129</v>
      </c>
      <c r="V16" s="133">
        <v>18927</v>
      </c>
      <c r="W16" s="12" t="s">
        <v>125</v>
      </c>
      <c r="X16" s="196">
        <v>1668900</v>
      </c>
      <c r="Y16" s="13"/>
      <c r="AA16" s="11"/>
      <c r="AB16" s="12"/>
      <c r="AC16" s="12"/>
      <c r="AD16" s="12"/>
      <c r="AE16" s="12"/>
      <c r="AF16" s="12"/>
      <c r="AG16" s="13"/>
      <c r="AI16" s="11"/>
      <c r="AJ16" s="12"/>
      <c r="AK16" s="12"/>
      <c r="AL16" s="12"/>
      <c r="AM16" s="12"/>
      <c r="AN16" s="12"/>
      <c r="AO16" s="13"/>
      <c r="AQ16" s="11"/>
      <c r="AR16" s="34">
        <v>140</v>
      </c>
      <c r="AS16" s="35">
        <f t="shared" si="0"/>
        <v>0.1115</v>
      </c>
      <c r="AT16" s="35">
        <f t="shared" si="2"/>
        <v>0.1115</v>
      </c>
      <c r="AU16" s="36">
        <f t="shared" si="1"/>
        <v>0</v>
      </c>
      <c r="AV16" s="37">
        <f t="shared" si="3"/>
        <v>285.00000000000011</v>
      </c>
      <c r="AW16" s="13"/>
    </row>
    <row r="17" spans="14:49" x14ac:dyDescent="0.2">
      <c r="N17" s="11"/>
      <c r="O17" s="16" t="s">
        <v>86</v>
      </c>
      <c r="P17" s="13"/>
      <c r="R17" s="11"/>
      <c r="S17" s="113">
        <v>430792</v>
      </c>
      <c r="T17" s="134" t="s">
        <v>12</v>
      </c>
      <c r="U17" s="12" t="s">
        <v>129</v>
      </c>
      <c r="V17" s="133">
        <v>18927</v>
      </c>
      <c r="W17" s="12" t="s">
        <v>125</v>
      </c>
      <c r="X17" s="196">
        <v>1299400</v>
      </c>
      <c r="Y17" s="13"/>
      <c r="AA17" s="11"/>
      <c r="AB17" s="12"/>
      <c r="AC17" s="12"/>
      <c r="AD17" s="12"/>
      <c r="AE17" s="12"/>
      <c r="AF17" s="12"/>
      <c r="AG17" s="13"/>
      <c r="AI17" s="11"/>
      <c r="AJ17" s="189">
        <v>900</v>
      </c>
      <c r="AK17" s="189"/>
      <c r="AL17" s="12" t="s">
        <v>43</v>
      </c>
      <c r="AM17" s="12"/>
      <c r="AN17" s="12"/>
      <c r="AO17" s="13"/>
      <c r="AQ17" s="11"/>
      <c r="AR17" s="34">
        <v>150</v>
      </c>
      <c r="AS17" s="35">
        <f t="shared" si="0"/>
        <v>0.1215</v>
      </c>
      <c r="AT17" s="35">
        <f t="shared" si="2"/>
        <v>0.1215</v>
      </c>
      <c r="AU17" s="36">
        <f t="shared" si="1"/>
        <v>0</v>
      </c>
      <c r="AV17" s="37">
        <f t="shared" si="3"/>
        <v>285</v>
      </c>
      <c r="AW17" s="13"/>
    </row>
    <row r="18" spans="14:49" ht="13.5" thickBot="1" x14ac:dyDescent="0.25">
      <c r="N18" s="11"/>
      <c r="O18" s="16" t="s">
        <v>65</v>
      </c>
      <c r="P18" s="13"/>
      <c r="R18" s="11"/>
      <c r="S18" s="113" t="s">
        <v>55</v>
      </c>
      <c r="T18" s="134" t="s">
        <v>13</v>
      </c>
      <c r="U18" s="12" t="s">
        <v>128</v>
      </c>
      <c r="V18" s="133">
        <v>600</v>
      </c>
      <c r="W18" s="12" t="s">
        <v>125</v>
      </c>
      <c r="X18" s="196" t="s">
        <v>55</v>
      </c>
      <c r="Y18" s="13"/>
      <c r="AA18" s="11"/>
      <c r="AB18" s="12"/>
      <c r="AC18" s="12"/>
      <c r="AD18" s="12"/>
      <c r="AE18" s="12"/>
      <c r="AF18" s="12"/>
      <c r="AG18" s="13"/>
      <c r="AI18" s="11"/>
      <c r="AJ18" s="191">
        <v>1000</v>
      </c>
      <c r="AK18" s="191">
        <v>1000</v>
      </c>
      <c r="AL18" s="12" t="s">
        <v>44</v>
      </c>
      <c r="AM18" s="14"/>
      <c r="AN18" s="39"/>
      <c r="AO18" s="13"/>
      <c r="AQ18" s="11"/>
      <c r="AR18" s="40">
        <v>160</v>
      </c>
      <c r="AS18" s="41"/>
      <c r="AT18" s="41"/>
      <c r="AU18" s="42">
        <f t="shared" si="1"/>
        <v>0</v>
      </c>
      <c r="AV18" s="43"/>
      <c r="AW18" s="13"/>
    </row>
    <row r="19" spans="14:49" ht="13.5" thickBot="1" x14ac:dyDescent="0.25">
      <c r="N19" s="17"/>
      <c r="O19" s="47" t="s">
        <v>19</v>
      </c>
      <c r="P19" s="19"/>
      <c r="R19" s="11"/>
      <c r="S19" s="113">
        <v>209637</v>
      </c>
      <c r="T19" s="134" t="s">
        <v>13</v>
      </c>
      <c r="U19" s="12" t="s">
        <v>129</v>
      </c>
      <c r="V19" s="133">
        <v>18927</v>
      </c>
      <c r="W19" s="12" t="s">
        <v>125</v>
      </c>
      <c r="X19" s="196">
        <v>1114700</v>
      </c>
      <c r="Y19" s="13"/>
      <c r="AA19" s="11"/>
      <c r="AB19" s="12"/>
      <c r="AC19" s="12"/>
      <c r="AD19" s="12"/>
      <c r="AE19" s="12"/>
      <c r="AF19" s="12"/>
      <c r="AG19" s="13"/>
      <c r="AI19" s="11"/>
      <c r="AJ19" s="189">
        <f>((AK11*AJ17)+(AK12*AJ18))/(AK13)</f>
        <v>925</v>
      </c>
      <c r="AK19" s="189"/>
      <c r="AL19" s="12" t="s">
        <v>45</v>
      </c>
      <c r="AM19" s="14"/>
      <c r="AN19" s="14"/>
      <c r="AO19" s="13"/>
      <c r="AQ19" s="11"/>
      <c r="AV19" s="44">
        <f>AVERAGE(AV12:AV18)</f>
        <v>285</v>
      </c>
      <c r="AW19" s="13"/>
    </row>
    <row r="20" spans="14:49" x14ac:dyDescent="0.2">
      <c r="O20" s="2" t="s">
        <v>19</v>
      </c>
      <c r="R20" s="11"/>
      <c r="S20" s="113">
        <v>372097</v>
      </c>
      <c r="T20" s="134" t="s">
        <v>14</v>
      </c>
      <c r="U20" s="12" t="s">
        <v>51</v>
      </c>
      <c r="V20" s="133">
        <v>14815</v>
      </c>
      <c r="W20" s="12" t="s">
        <v>125</v>
      </c>
      <c r="X20" s="196">
        <v>2248300</v>
      </c>
      <c r="Y20" s="13"/>
      <c r="AA20" s="11"/>
      <c r="AB20" s="12"/>
      <c r="AC20" s="12"/>
      <c r="AD20" s="12"/>
      <c r="AE20" s="12"/>
      <c r="AF20" s="12"/>
      <c r="AG20" s="13"/>
      <c r="AI20" s="11"/>
      <c r="AJ20" s="12"/>
      <c r="AK20" s="12"/>
      <c r="AL20" s="79" t="s">
        <v>105</v>
      </c>
      <c r="AM20" s="45"/>
      <c r="AN20" s="46"/>
      <c r="AO20" s="13"/>
      <c r="AQ20" s="11"/>
      <c r="AR20" s="12"/>
      <c r="AS20" s="12"/>
      <c r="AT20" s="12"/>
      <c r="AU20" s="12"/>
      <c r="AV20" s="12"/>
      <c r="AW20" s="13"/>
    </row>
    <row r="21" spans="14:49" ht="13.5" thickBot="1" x14ac:dyDescent="0.25">
      <c r="O21" s="2" t="s">
        <v>19</v>
      </c>
      <c r="R21" s="11"/>
      <c r="S21" s="113">
        <v>304308</v>
      </c>
      <c r="T21" s="134" t="s">
        <v>15</v>
      </c>
      <c r="U21" s="12" t="s">
        <v>134</v>
      </c>
      <c r="V21" s="133">
        <v>10</v>
      </c>
      <c r="W21" s="12" t="s">
        <v>132</v>
      </c>
      <c r="X21" s="196">
        <v>579100</v>
      </c>
      <c r="Y21" s="13"/>
      <c r="AA21" s="11"/>
      <c r="AB21" s="12"/>
      <c r="AC21" s="12"/>
      <c r="AD21" s="12"/>
      <c r="AE21" s="12"/>
      <c r="AF21" s="12"/>
      <c r="AG21" s="13"/>
      <c r="AI21" s="11"/>
      <c r="AJ21" s="12"/>
      <c r="AK21" s="12"/>
      <c r="AL21" s="45"/>
      <c r="AM21" s="45"/>
      <c r="AN21" s="46"/>
      <c r="AO21" s="13"/>
      <c r="AQ21" s="11"/>
      <c r="AR21" s="193" t="s">
        <v>77</v>
      </c>
      <c r="AS21" s="193"/>
      <c r="AT21" s="194"/>
      <c r="AU21" s="21">
        <v>0</v>
      </c>
      <c r="AW21" s="13"/>
    </row>
    <row r="22" spans="14:49" x14ac:dyDescent="0.2">
      <c r="O22" s="16"/>
      <c r="R22" s="11"/>
      <c r="S22" s="113">
        <v>304309</v>
      </c>
      <c r="T22" s="134" t="s">
        <v>16</v>
      </c>
      <c r="U22" s="12" t="s">
        <v>134</v>
      </c>
      <c r="V22" s="133">
        <v>10</v>
      </c>
      <c r="W22" s="12" t="s">
        <v>132</v>
      </c>
      <c r="X22" s="196">
        <v>810500</v>
      </c>
      <c r="Y22" s="13"/>
      <c r="AA22" s="11"/>
      <c r="AB22" s="12"/>
      <c r="AC22" s="12"/>
      <c r="AD22" s="12"/>
      <c r="AE22" s="12"/>
      <c r="AF22" s="12"/>
      <c r="AG22" s="13"/>
      <c r="AI22" s="11"/>
      <c r="AJ22" s="38" t="s">
        <v>46</v>
      </c>
      <c r="AK22" s="12"/>
      <c r="AL22" s="12"/>
      <c r="AM22" s="12"/>
      <c r="AN22" s="12"/>
      <c r="AO22" s="13"/>
      <c r="AQ22" s="11"/>
      <c r="AR22" s="22" t="s">
        <v>71</v>
      </c>
      <c r="AS22" s="23" t="s">
        <v>66</v>
      </c>
      <c r="AT22" s="23" t="s">
        <v>67</v>
      </c>
      <c r="AU22" s="23" t="s">
        <v>68</v>
      </c>
      <c r="AV22" s="24" t="s">
        <v>69</v>
      </c>
      <c r="AW22" s="13"/>
    </row>
    <row r="23" spans="14:49" ht="13.5" thickBot="1" x14ac:dyDescent="0.25">
      <c r="R23" s="11"/>
      <c r="S23" s="113">
        <v>304329</v>
      </c>
      <c r="T23" s="134" t="s">
        <v>17</v>
      </c>
      <c r="U23" s="12" t="s">
        <v>133</v>
      </c>
      <c r="V23" s="133">
        <v>1</v>
      </c>
      <c r="W23" s="12" t="s">
        <v>131</v>
      </c>
      <c r="X23" s="196">
        <v>120400</v>
      </c>
      <c r="Y23" s="13"/>
      <c r="AA23" s="11"/>
      <c r="AB23" s="12"/>
      <c r="AC23" s="48"/>
      <c r="AD23" s="12"/>
      <c r="AE23" s="12"/>
      <c r="AF23" s="12"/>
      <c r="AG23" s="13"/>
      <c r="AI23" s="11"/>
      <c r="AJ23" s="12"/>
      <c r="AK23" s="12"/>
      <c r="AL23" s="12"/>
      <c r="AM23" s="12"/>
      <c r="AN23" s="12"/>
      <c r="AO23" s="13"/>
      <c r="AQ23" s="11"/>
      <c r="AR23" s="26" t="s">
        <v>60</v>
      </c>
      <c r="AS23" s="27" t="s">
        <v>61</v>
      </c>
      <c r="AT23" s="27" t="s">
        <v>70</v>
      </c>
      <c r="AU23" s="27" t="s">
        <v>60</v>
      </c>
      <c r="AV23" s="28" t="s">
        <v>75</v>
      </c>
      <c r="AW23" s="13"/>
    </row>
    <row r="24" spans="14:49" x14ac:dyDescent="0.2">
      <c r="R24" s="11"/>
      <c r="S24" s="113">
        <v>304331</v>
      </c>
      <c r="T24" s="134" t="s">
        <v>18</v>
      </c>
      <c r="U24" s="12" t="s">
        <v>133</v>
      </c>
      <c r="V24" s="133">
        <v>1</v>
      </c>
      <c r="W24" s="12" t="s">
        <v>131</v>
      </c>
      <c r="X24" s="196">
        <v>213400</v>
      </c>
      <c r="Y24" s="13"/>
      <c r="AA24" s="11"/>
      <c r="AB24" s="12"/>
      <c r="AC24" s="12"/>
      <c r="AD24" s="12"/>
      <c r="AE24" s="12"/>
      <c r="AF24" s="12"/>
      <c r="AG24" s="13"/>
      <c r="AI24" s="11"/>
      <c r="AJ24" s="190">
        <f>AK13</f>
        <v>18.133333333333333</v>
      </c>
      <c r="AK24" s="190"/>
      <c r="AL24" s="12" t="s">
        <v>48</v>
      </c>
      <c r="AM24" s="12"/>
      <c r="AN24" s="12"/>
      <c r="AO24" s="13"/>
      <c r="AQ24" s="11"/>
      <c r="AR24" s="30">
        <v>120</v>
      </c>
      <c r="AS24" s="31"/>
      <c r="AT24" s="31"/>
      <c r="AU24" s="32">
        <f t="shared" ref="AU24:AU33" si="4">$AU$9</f>
        <v>0</v>
      </c>
      <c r="AV24" s="33"/>
      <c r="AW24" s="13"/>
    </row>
    <row r="25" spans="14:49" ht="13.5" thickBot="1" x14ac:dyDescent="0.25">
      <c r="R25" s="11"/>
      <c r="S25" s="113">
        <v>24669</v>
      </c>
      <c r="T25" s="134" t="s">
        <v>142</v>
      </c>
      <c r="U25" s="12"/>
      <c r="V25" s="133">
        <v>1</v>
      </c>
      <c r="W25" s="12" t="s">
        <v>131</v>
      </c>
      <c r="X25" s="196">
        <v>187200</v>
      </c>
      <c r="Y25" s="13"/>
      <c r="AA25" s="11"/>
      <c r="AB25" s="12"/>
      <c r="AC25" s="12"/>
      <c r="AD25" s="12"/>
      <c r="AE25" s="12"/>
      <c r="AF25" s="12"/>
      <c r="AG25" s="13"/>
      <c r="AI25" s="11"/>
      <c r="AJ25" s="191">
        <f>AJ19</f>
        <v>925</v>
      </c>
      <c r="AK25" s="191">
        <v>1000</v>
      </c>
      <c r="AL25" s="12" t="s">
        <v>47</v>
      </c>
      <c r="AM25" s="14"/>
      <c r="AN25" s="39"/>
      <c r="AO25" s="13"/>
      <c r="AQ25" s="11"/>
      <c r="AR25" s="34">
        <v>130</v>
      </c>
      <c r="AS25" s="35">
        <f t="shared" ref="AS25:AS33" si="5">AVERAGE(AU46,AV46)</f>
        <v>9.0999999999999998E-2</v>
      </c>
      <c r="AT25" s="35">
        <f t="shared" ref="AT25:AT33" si="6">+AS25/1</f>
        <v>9.0999999999999998E-2</v>
      </c>
      <c r="AU25" s="36">
        <f t="shared" si="4"/>
        <v>0</v>
      </c>
      <c r="AV25" s="37">
        <f t="shared" ref="AV25:AV33" si="7">((((AR25+AU25)/1000)*1)-AT25)*10000</f>
        <v>390.00000000000006</v>
      </c>
      <c r="AW25" s="13"/>
    </row>
    <row r="26" spans="14:49" x14ac:dyDescent="0.2">
      <c r="R26" s="11"/>
      <c r="S26" s="113">
        <v>220139</v>
      </c>
      <c r="T26" s="134" t="s">
        <v>143</v>
      </c>
      <c r="U26" s="12"/>
      <c r="V26" s="133">
        <v>1</v>
      </c>
      <c r="W26" s="12" t="s">
        <v>131</v>
      </c>
      <c r="X26" s="196">
        <v>3960</v>
      </c>
      <c r="Y26" s="13"/>
      <c r="AA26" s="11"/>
      <c r="AB26" s="49" t="s">
        <v>27</v>
      </c>
      <c r="AC26" s="50">
        <v>0</v>
      </c>
      <c r="AD26" s="12"/>
      <c r="AE26" s="12"/>
      <c r="AF26" s="12"/>
      <c r="AG26" s="13"/>
      <c r="AI26" s="11"/>
      <c r="AJ26" s="192">
        <f>AJ24/AJ25</f>
        <v>1.9603603603603602E-2</v>
      </c>
      <c r="AK26" s="192"/>
      <c r="AL26" s="12" t="s">
        <v>49</v>
      </c>
      <c r="AM26" s="14"/>
      <c r="AN26" s="14"/>
      <c r="AO26" s="13"/>
      <c r="AQ26" s="11"/>
      <c r="AR26" s="34">
        <v>140</v>
      </c>
      <c r="AS26" s="35">
        <f t="shared" si="5"/>
        <v>0.10050000000000001</v>
      </c>
      <c r="AT26" s="35">
        <f t="shared" si="6"/>
        <v>0.10050000000000001</v>
      </c>
      <c r="AU26" s="36">
        <f t="shared" si="4"/>
        <v>0</v>
      </c>
      <c r="AV26" s="37">
        <f t="shared" si="7"/>
        <v>395.00000000000006</v>
      </c>
      <c r="AW26" s="13"/>
    </row>
    <row r="27" spans="14:49" ht="18.75" x14ac:dyDescent="0.2">
      <c r="R27" s="11"/>
      <c r="S27" s="113">
        <v>338720</v>
      </c>
      <c r="T27" s="134" t="s">
        <v>144</v>
      </c>
      <c r="U27" s="12"/>
      <c r="V27" s="133">
        <v>1</v>
      </c>
      <c r="W27" s="12" t="s">
        <v>131</v>
      </c>
      <c r="X27" s="196">
        <v>759300</v>
      </c>
      <c r="Y27" s="13"/>
      <c r="AA27" s="11"/>
      <c r="AB27" s="49" t="s">
        <v>28</v>
      </c>
      <c r="AC27" s="51" t="s">
        <v>29</v>
      </c>
      <c r="AD27" s="12"/>
      <c r="AE27" s="12"/>
      <c r="AF27" s="12"/>
      <c r="AG27" s="13"/>
      <c r="AI27" s="11"/>
      <c r="AJ27" s="12"/>
      <c r="AK27" s="12"/>
      <c r="AL27" s="45"/>
      <c r="AM27" s="45"/>
      <c r="AN27" s="46"/>
      <c r="AO27" s="13"/>
      <c r="AQ27" s="11"/>
      <c r="AR27" s="34">
        <v>150</v>
      </c>
      <c r="AS27" s="35">
        <f t="shared" si="5"/>
        <v>0.1105</v>
      </c>
      <c r="AT27" s="35">
        <f t="shared" si="6"/>
        <v>0.1105</v>
      </c>
      <c r="AU27" s="36">
        <f t="shared" si="4"/>
        <v>0</v>
      </c>
      <c r="AV27" s="37">
        <f t="shared" si="7"/>
        <v>394.99999999999994</v>
      </c>
      <c r="AW27" s="13"/>
    </row>
    <row r="28" spans="14:49" x14ac:dyDescent="0.2">
      <c r="R28" s="11"/>
      <c r="S28" s="113">
        <v>338718</v>
      </c>
      <c r="T28" s="134" t="s">
        <v>145</v>
      </c>
      <c r="U28" s="12"/>
      <c r="V28" s="133">
        <v>1</v>
      </c>
      <c r="W28" s="12" t="s">
        <v>131</v>
      </c>
      <c r="X28" s="196">
        <v>7670</v>
      </c>
      <c r="Y28" s="13"/>
      <c r="AA28" s="11"/>
      <c r="AB28" s="49"/>
      <c r="AC28" s="51"/>
      <c r="AD28" s="12"/>
      <c r="AE28" s="12"/>
      <c r="AF28" s="12"/>
      <c r="AG28" s="13"/>
      <c r="AI28" s="11"/>
      <c r="AJ28" s="186" t="s">
        <v>50</v>
      </c>
      <c r="AK28" s="186"/>
      <c r="AL28" s="186"/>
      <c r="AM28" s="186"/>
      <c r="AN28" s="186"/>
      <c r="AO28" s="13"/>
      <c r="AQ28" s="11"/>
      <c r="AR28" s="34">
        <v>160</v>
      </c>
      <c r="AS28" s="35">
        <f t="shared" si="5"/>
        <v>0.12</v>
      </c>
      <c r="AT28" s="35">
        <f t="shared" si="6"/>
        <v>0.12</v>
      </c>
      <c r="AU28" s="36">
        <f t="shared" si="4"/>
        <v>0</v>
      </c>
      <c r="AV28" s="37">
        <f t="shared" si="7"/>
        <v>400.00000000000006</v>
      </c>
      <c r="AW28" s="13"/>
    </row>
    <row r="29" spans="14:49" ht="12.75" customHeight="1" x14ac:dyDescent="0.2">
      <c r="R29" s="11"/>
      <c r="S29" s="113">
        <v>259768</v>
      </c>
      <c r="T29" s="134" t="s">
        <v>146</v>
      </c>
      <c r="U29" s="12"/>
      <c r="V29" s="133">
        <v>1</v>
      </c>
      <c r="W29" s="12" t="s">
        <v>131</v>
      </c>
      <c r="X29" s="196">
        <v>326100</v>
      </c>
      <c r="Y29" s="13"/>
      <c r="AA29" s="11"/>
      <c r="AB29" s="184" t="s">
        <v>30</v>
      </c>
      <c r="AC29" s="184"/>
      <c r="AD29" s="184"/>
      <c r="AE29" s="184"/>
      <c r="AF29" s="184"/>
      <c r="AG29" s="13"/>
      <c r="AI29" s="11"/>
      <c r="AJ29" s="186"/>
      <c r="AK29" s="186"/>
      <c r="AL29" s="186"/>
      <c r="AM29" s="186"/>
      <c r="AN29" s="186"/>
      <c r="AO29" s="13"/>
      <c r="AQ29" s="11"/>
      <c r="AR29" s="34">
        <v>165</v>
      </c>
      <c r="AS29" s="35">
        <f t="shared" si="5"/>
        <v>0.13</v>
      </c>
      <c r="AT29" s="35">
        <f t="shared" si="6"/>
        <v>0.13</v>
      </c>
      <c r="AU29" s="36">
        <f t="shared" si="4"/>
        <v>0</v>
      </c>
      <c r="AV29" s="37">
        <f t="shared" si="7"/>
        <v>350.00000000000006</v>
      </c>
      <c r="AW29" s="13"/>
    </row>
    <row r="30" spans="14:49" x14ac:dyDescent="0.2">
      <c r="R30" s="11"/>
      <c r="S30" s="113">
        <v>24631</v>
      </c>
      <c r="T30" s="134" t="s">
        <v>147</v>
      </c>
      <c r="U30" s="12"/>
      <c r="V30" s="133">
        <v>1</v>
      </c>
      <c r="W30" s="12" t="s">
        <v>131</v>
      </c>
      <c r="X30" s="196">
        <v>58100</v>
      </c>
      <c r="Y30" s="13"/>
      <c r="AA30" s="11"/>
      <c r="AB30" s="12"/>
      <c r="AC30" s="12"/>
      <c r="AD30" s="12"/>
      <c r="AE30" s="12"/>
      <c r="AF30" s="12"/>
      <c r="AG30" s="13"/>
      <c r="AI30" s="11"/>
      <c r="AJ30" s="186"/>
      <c r="AK30" s="186"/>
      <c r="AL30" s="186"/>
      <c r="AM30" s="186"/>
      <c r="AN30" s="186"/>
      <c r="AO30" s="13"/>
      <c r="AQ30" s="11"/>
      <c r="AR30" s="34">
        <v>180</v>
      </c>
      <c r="AS30" s="35">
        <f t="shared" si="5"/>
        <v>0.14000000000000001</v>
      </c>
      <c r="AT30" s="35">
        <f t="shared" si="6"/>
        <v>0.14000000000000001</v>
      </c>
      <c r="AU30" s="36">
        <f t="shared" si="4"/>
        <v>0</v>
      </c>
      <c r="AV30" s="37">
        <f t="shared" si="7"/>
        <v>399.99999999999977</v>
      </c>
      <c r="AW30" s="13"/>
    </row>
    <row r="31" spans="14:49" x14ac:dyDescent="0.2">
      <c r="R31" s="11"/>
      <c r="S31" s="113" t="s">
        <v>55</v>
      </c>
      <c r="T31" s="134" t="s">
        <v>55</v>
      </c>
      <c r="U31" s="12" t="s">
        <v>55</v>
      </c>
      <c r="V31" s="133" t="s">
        <v>55</v>
      </c>
      <c r="W31" s="12" t="s">
        <v>55</v>
      </c>
      <c r="X31" s="196" t="s">
        <v>55</v>
      </c>
      <c r="Y31" s="13"/>
      <c r="AA31" s="11"/>
      <c r="AB31" s="14" t="s">
        <v>20</v>
      </c>
      <c r="AC31" s="14" t="s">
        <v>21</v>
      </c>
      <c r="AD31" s="14" t="s">
        <v>32</v>
      </c>
      <c r="AE31" s="14" t="s">
        <v>31</v>
      </c>
      <c r="AF31" s="39" t="s">
        <v>23</v>
      </c>
      <c r="AG31" s="13"/>
      <c r="AI31" s="11"/>
      <c r="AJ31" s="12"/>
      <c r="AK31" s="12"/>
      <c r="AL31" s="45"/>
      <c r="AM31" s="45"/>
      <c r="AN31" s="46"/>
      <c r="AO31" s="13"/>
      <c r="AQ31" s="11"/>
      <c r="AR31" s="34">
        <v>185</v>
      </c>
      <c r="AS31" s="35">
        <f t="shared" si="5"/>
        <v>0.15</v>
      </c>
      <c r="AT31" s="35">
        <f t="shared" si="6"/>
        <v>0.15</v>
      </c>
      <c r="AU31" s="36">
        <f t="shared" si="4"/>
        <v>0</v>
      </c>
      <c r="AV31" s="37">
        <f t="shared" si="7"/>
        <v>350.00000000000006</v>
      </c>
      <c r="AW31" s="13"/>
    </row>
    <row r="32" spans="14:49" ht="26.25" thickBot="1" x14ac:dyDescent="0.25">
      <c r="R32" s="17"/>
      <c r="S32" s="18"/>
      <c r="T32" s="18"/>
      <c r="U32" s="18"/>
      <c r="V32" s="18"/>
      <c r="W32" s="18"/>
      <c r="X32" s="18"/>
      <c r="Y32" s="19"/>
      <c r="AA32" s="11"/>
      <c r="AB32" s="14" t="s">
        <v>2</v>
      </c>
      <c r="AC32" s="14" t="s">
        <v>24</v>
      </c>
      <c r="AD32" s="14" t="s">
        <v>24</v>
      </c>
      <c r="AE32" s="14" t="s">
        <v>24</v>
      </c>
      <c r="AF32" s="14" t="s">
        <v>25</v>
      </c>
      <c r="AG32" s="13"/>
      <c r="AI32" s="11"/>
      <c r="AJ32" s="53" t="s">
        <v>54</v>
      </c>
      <c r="AK32" s="188">
        <f>AJ26*1000000</f>
        <v>19603.603603603602</v>
      </c>
      <c r="AL32" s="188"/>
      <c r="AM32" s="188"/>
      <c r="AN32" s="54"/>
      <c r="AO32" s="13"/>
      <c r="AQ32" s="11"/>
      <c r="AR32" s="34">
        <v>190</v>
      </c>
      <c r="AS32" s="35">
        <f t="shared" si="5"/>
        <v>0.16</v>
      </c>
      <c r="AT32" s="35">
        <f t="shared" si="6"/>
        <v>0.16</v>
      </c>
      <c r="AU32" s="36">
        <f t="shared" si="4"/>
        <v>0</v>
      </c>
      <c r="AV32" s="37">
        <f t="shared" si="7"/>
        <v>300</v>
      </c>
      <c r="AW32" s="13"/>
    </row>
    <row r="33" spans="19:49" ht="13.5" thickBot="1" x14ac:dyDescent="0.25">
      <c r="AA33" s="11"/>
      <c r="AB33" s="12">
        <v>1</v>
      </c>
      <c r="AC33" s="12">
        <f>4*2.54</f>
        <v>10.16</v>
      </c>
      <c r="AD33" s="55">
        <f>(AC33+((AB33-1)*2*0.48))*PI()</f>
        <v>31.918581360472299</v>
      </c>
      <c r="AE33" s="56">
        <f t="shared" ref="AE33:AE42" si="8">PI()*AC33*AB33</f>
        <v>31.918581360472299</v>
      </c>
      <c r="AF33" s="57">
        <f>1-(+AE33/AD33)</f>
        <v>0</v>
      </c>
      <c r="AG33" s="13"/>
      <c r="AI33" s="17"/>
      <c r="AJ33" s="18"/>
      <c r="AK33" s="18"/>
      <c r="AL33" s="18"/>
      <c r="AM33" s="18"/>
      <c r="AN33" s="18"/>
      <c r="AO33" s="19"/>
      <c r="AQ33" s="11"/>
      <c r="AR33" s="40">
        <v>205</v>
      </c>
      <c r="AS33" s="41">
        <f t="shared" si="5"/>
        <v>0.17</v>
      </c>
      <c r="AT33" s="41">
        <f t="shared" si="6"/>
        <v>0.17</v>
      </c>
      <c r="AU33" s="42">
        <f t="shared" si="4"/>
        <v>0</v>
      </c>
      <c r="AV33" s="43">
        <f t="shared" si="7"/>
        <v>349.99999999999977</v>
      </c>
      <c r="AW33" s="13"/>
    </row>
    <row r="34" spans="19:49" ht="13.5" thickBot="1" x14ac:dyDescent="0.25">
      <c r="AA34" s="11"/>
      <c r="AB34" s="12">
        <v>2</v>
      </c>
      <c r="AC34" s="12">
        <f t="shared" ref="AC34:AC42" si="9">4*2.54</f>
        <v>10.16</v>
      </c>
      <c r="AD34" s="55">
        <f>((AC33+((AB33-1)*2*0.48))*PI())+( (AC34+((AB34-1)*2*0.48))*PI() )</f>
        <v>66.853091668390803</v>
      </c>
      <c r="AE34" s="56">
        <f t="shared" si="8"/>
        <v>63.837162720944598</v>
      </c>
      <c r="AF34" s="57">
        <f t="shared" ref="AF34:AF42" si="10">1-(+AE34/AD34)</f>
        <v>4.5112781954887327E-2</v>
      </c>
      <c r="AG34" s="13"/>
      <c r="AQ34" s="11"/>
      <c r="AV34" s="44">
        <f>AVERAGE(AV24:AV33)</f>
        <v>370</v>
      </c>
      <c r="AW34" s="13"/>
    </row>
    <row r="35" spans="19:49" x14ac:dyDescent="0.2">
      <c r="T35" s="52"/>
      <c r="AA35" s="11"/>
      <c r="AB35" s="12">
        <v>3</v>
      </c>
      <c r="AC35" s="12">
        <f t="shared" si="9"/>
        <v>10.16</v>
      </c>
      <c r="AD35" s="55">
        <f>( ((AC33+((AB33-1)*2*0.48))*PI())+( (AC34+((AB34-1)*2*0.48))*PI() ) )+( (AC35+((AB35-1)*2*0.48))*PI() )</f>
        <v>104.8035309237555</v>
      </c>
      <c r="AE35" s="56">
        <f t="shared" si="8"/>
        <v>95.755744081416893</v>
      </c>
      <c r="AF35" s="57">
        <f t="shared" si="10"/>
        <v>8.633093525179858E-2</v>
      </c>
      <c r="AG35" s="13"/>
      <c r="AQ35" s="11"/>
      <c r="AR35" s="12"/>
      <c r="AS35" s="12"/>
      <c r="AT35" s="12"/>
      <c r="AU35" s="12"/>
      <c r="AV35" s="12"/>
      <c r="AW35" s="13"/>
    </row>
    <row r="36" spans="19:49" x14ac:dyDescent="0.2">
      <c r="T36" s="52"/>
      <c r="AA36" s="11"/>
      <c r="AB36" s="12">
        <v>4</v>
      </c>
      <c r="AC36" s="12">
        <f t="shared" si="9"/>
        <v>10.16</v>
      </c>
      <c r="AD36" s="55">
        <f t="shared" ref="AD36:AD42" si="11">+AD35+( (AC36+((AB36-1)*2*0.48))*PI() )</f>
        <v>145.7698991265664</v>
      </c>
      <c r="AE36" s="56">
        <f t="shared" si="8"/>
        <v>127.6743254418892</v>
      </c>
      <c r="AF36" s="57">
        <f t="shared" si="10"/>
        <v>0.12413793103448278</v>
      </c>
      <c r="AG36" s="13"/>
      <c r="AQ36" s="11"/>
      <c r="AR36" s="12"/>
      <c r="AS36" s="12"/>
      <c r="AT36" s="12"/>
      <c r="AU36" s="12"/>
      <c r="AV36" s="12"/>
      <c r="AW36" s="13"/>
    </row>
    <row r="37" spans="19:49" x14ac:dyDescent="0.2">
      <c r="T37" s="52"/>
      <c r="AA37" s="11"/>
      <c r="AB37" s="12">
        <v>5</v>
      </c>
      <c r="AC37" s="12">
        <f t="shared" si="9"/>
        <v>10.16</v>
      </c>
      <c r="AD37" s="55">
        <f t="shared" si="11"/>
        <v>189.7521962768235</v>
      </c>
      <c r="AE37" s="56">
        <f t="shared" si="8"/>
        <v>159.59290680236148</v>
      </c>
      <c r="AF37" s="57">
        <f t="shared" si="10"/>
        <v>0.15894039735099341</v>
      </c>
      <c r="AG37" s="13"/>
      <c r="AQ37" s="11"/>
      <c r="AR37" s="12"/>
      <c r="AS37" s="12"/>
      <c r="AT37" s="12"/>
      <c r="AU37" s="12"/>
      <c r="AV37" s="12"/>
      <c r="AW37" s="13"/>
    </row>
    <row r="38" spans="19:49" x14ac:dyDescent="0.2">
      <c r="T38" s="52"/>
      <c r="AA38" s="11"/>
      <c r="AB38" s="12">
        <v>6</v>
      </c>
      <c r="AC38" s="12">
        <f t="shared" si="9"/>
        <v>10.16</v>
      </c>
      <c r="AD38" s="55">
        <f t="shared" si="11"/>
        <v>236.75042237452681</v>
      </c>
      <c r="AE38" s="56">
        <f t="shared" si="8"/>
        <v>191.51148816283379</v>
      </c>
      <c r="AF38" s="57">
        <f t="shared" si="10"/>
        <v>0.19108280254777066</v>
      </c>
      <c r="AG38" s="13"/>
      <c r="AQ38" s="11"/>
      <c r="AR38" s="195" t="s">
        <v>72</v>
      </c>
      <c r="AS38" s="12"/>
      <c r="AT38" s="12"/>
      <c r="AU38" s="12"/>
      <c r="AV38" s="12"/>
      <c r="AW38" s="13"/>
    </row>
    <row r="39" spans="19:49" x14ac:dyDescent="0.2">
      <c r="T39" s="52"/>
      <c r="AA39" s="11"/>
      <c r="AB39" s="12">
        <v>7</v>
      </c>
      <c r="AC39" s="12">
        <f t="shared" si="9"/>
        <v>10.16</v>
      </c>
      <c r="AD39" s="55">
        <f t="shared" si="11"/>
        <v>286.7645774196763</v>
      </c>
      <c r="AE39" s="56">
        <f t="shared" si="8"/>
        <v>223.43006952330609</v>
      </c>
      <c r="AF39" s="57">
        <f t="shared" si="10"/>
        <v>0.22085889570552142</v>
      </c>
      <c r="AG39" s="13"/>
      <c r="AM39" s="1"/>
      <c r="AN39" s="1"/>
      <c r="AO39" s="1"/>
      <c r="AQ39" s="11"/>
      <c r="AR39" s="195"/>
      <c r="AS39" s="150" t="s">
        <v>62</v>
      </c>
      <c r="AT39" s="187" t="s">
        <v>63</v>
      </c>
      <c r="AU39" s="187"/>
      <c r="AV39" s="150" t="s">
        <v>64</v>
      </c>
      <c r="AW39" s="13"/>
    </row>
    <row r="40" spans="19:49" x14ac:dyDescent="0.2">
      <c r="T40" s="52"/>
      <c r="AA40" s="11"/>
      <c r="AB40" s="12">
        <v>8</v>
      </c>
      <c r="AC40" s="12">
        <f t="shared" si="9"/>
        <v>10.16</v>
      </c>
      <c r="AD40" s="55">
        <f t="shared" si="11"/>
        <v>339.79466141227203</v>
      </c>
      <c r="AE40" s="56">
        <f t="shared" si="8"/>
        <v>255.34865088377839</v>
      </c>
      <c r="AF40" s="57">
        <f t="shared" si="10"/>
        <v>0.24852071005917165</v>
      </c>
      <c r="AG40" s="13"/>
      <c r="AM40" s="1"/>
      <c r="AN40" s="1"/>
      <c r="AO40" s="1"/>
      <c r="AQ40" s="11"/>
      <c r="AR40" s="2" t="s">
        <v>61</v>
      </c>
      <c r="AW40" s="13"/>
    </row>
    <row r="41" spans="19:49" x14ac:dyDescent="0.2">
      <c r="S41" s="58"/>
      <c r="T41" s="52"/>
      <c r="U41" s="58"/>
      <c r="V41" s="58"/>
      <c r="W41" s="58"/>
      <c r="X41" s="58"/>
      <c r="AA41" s="11"/>
      <c r="AB41" s="12">
        <v>9</v>
      </c>
      <c r="AC41" s="12">
        <f t="shared" si="9"/>
        <v>10.16</v>
      </c>
      <c r="AD41" s="55">
        <f t="shared" si="11"/>
        <v>395.84067435231395</v>
      </c>
      <c r="AE41" s="56">
        <f t="shared" si="8"/>
        <v>287.26723224425069</v>
      </c>
      <c r="AF41" s="57">
        <f t="shared" si="10"/>
        <v>0.27428571428571435</v>
      </c>
      <c r="AG41" s="13"/>
      <c r="AM41" s="1"/>
      <c r="AN41" s="1"/>
      <c r="AO41" s="1"/>
      <c r="AQ41" s="11"/>
      <c r="AR41" s="12"/>
      <c r="AW41" s="13"/>
    </row>
    <row r="42" spans="19:49" ht="13.5" thickBot="1" x14ac:dyDescent="0.25">
      <c r="T42" s="52"/>
      <c r="AA42" s="11"/>
      <c r="AB42" s="12">
        <v>10</v>
      </c>
      <c r="AC42" s="12">
        <f t="shared" si="9"/>
        <v>10.16</v>
      </c>
      <c r="AD42" s="55">
        <f t="shared" si="11"/>
        <v>454.90261623980206</v>
      </c>
      <c r="AE42" s="56">
        <f t="shared" si="8"/>
        <v>319.18581360472297</v>
      </c>
      <c r="AF42" s="57">
        <f t="shared" si="10"/>
        <v>0.2983425414364641</v>
      </c>
      <c r="AG42" s="13"/>
      <c r="AM42" s="1"/>
      <c r="AN42" s="1"/>
      <c r="AO42" s="1"/>
      <c r="AQ42" s="11"/>
      <c r="AR42" s="14"/>
      <c r="AS42" s="2" t="s">
        <v>73</v>
      </c>
      <c r="AT42" s="2" t="s">
        <v>73</v>
      </c>
      <c r="AU42" s="2" t="s">
        <v>74</v>
      </c>
      <c r="AV42" s="59" t="s">
        <v>74</v>
      </c>
      <c r="AW42" s="13"/>
    </row>
    <row r="43" spans="19:49" x14ac:dyDescent="0.2">
      <c r="T43" s="52"/>
      <c r="AA43" s="11"/>
      <c r="AB43" s="12"/>
      <c r="AC43" s="12"/>
      <c r="AD43" s="54"/>
      <c r="AE43" s="12"/>
      <c r="AF43" s="54"/>
      <c r="AG43" s="13"/>
      <c r="AM43" s="1"/>
      <c r="AN43" s="1"/>
      <c r="AO43" s="1"/>
      <c r="AQ43" s="11"/>
      <c r="AR43" s="60">
        <v>100</v>
      </c>
      <c r="AS43" s="152">
        <v>7.0999999999999994E-2</v>
      </c>
      <c r="AT43" s="152">
        <v>7.1999999999999995E-2</v>
      </c>
      <c r="AU43" s="152"/>
      <c r="AV43" s="153"/>
      <c r="AW43" s="13"/>
    </row>
    <row r="44" spans="19:49" ht="13.5" thickBot="1" x14ac:dyDescent="0.25">
      <c r="T44" s="52"/>
      <c r="AA44" s="17"/>
      <c r="AB44" s="18"/>
      <c r="AC44" s="18"/>
      <c r="AD44" s="18"/>
      <c r="AE44" s="18"/>
      <c r="AF44" s="18"/>
      <c r="AG44" s="19"/>
      <c r="AM44" s="1"/>
      <c r="AN44" s="1"/>
      <c r="AO44" s="1"/>
      <c r="AQ44" s="11"/>
      <c r="AR44" s="34">
        <v>110</v>
      </c>
      <c r="AS44" s="154">
        <v>8.1000000000000003E-2</v>
      </c>
      <c r="AT44" s="154">
        <v>8.2000000000000003E-2</v>
      </c>
      <c r="AU44" s="154"/>
      <c r="AV44" s="155"/>
      <c r="AW44" s="13"/>
    </row>
    <row r="45" spans="19:49" x14ac:dyDescent="0.2">
      <c r="T45" s="52"/>
      <c r="AM45" s="1"/>
      <c r="AN45" s="1"/>
      <c r="AO45" s="1"/>
      <c r="AQ45" s="11"/>
      <c r="AR45" s="34">
        <v>120</v>
      </c>
      <c r="AS45" s="154">
        <v>9.0999999999999998E-2</v>
      </c>
      <c r="AT45" s="154">
        <v>9.1999999999999998E-2</v>
      </c>
      <c r="AU45" s="154"/>
      <c r="AV45" s="155"/>
      <c r="AW45" s="13"/>
    </row>
    <row r="46" spans="19:49" x14ac:dyDescent="0.2">
      <c r="T46" s="52"/>
      <c r="AQ46" s="11"/>
      <c r="AR46" s="34">
        <v>130</v>
      </c>
      <c r="AS46" s="154">
        <v>0.10100000000000001</v>
      </c>
      <c r="AT46" s="154">
        <v>0.10199999999999999</v>
      </c>
      <c r="AU46" s="154">
        <v>9.0999999999999998E-2</v>
      </c>
      <c r="AV46" s="155"/>
      <c r="AW46" s="13"/>
    </row>
    <row r="47" spans="19:49" x14ac:dyDescent="0.2">
      <c r="T47" s="52"/>
      <c r="AQ47" s="11"/>
      <c r="AR47" s="34">
        <v>140</v>
      </c>
      <c r="AS47" s="154">
        <v>0.111</v>
      </c>
      <c r="AT47" s="154">
        <v>0.112</v>
      </c>
      <c r="AU47" s="154">
        <v>0.10100000000000001</v>
      </c>
      <c r="AV47" s="155">
        <v>0.1</v>
      </c>
      <c r="AW47" s="13"/>
    </row>
    <row r="48" spans="19:49" x14ac:dyDescent="0.2">
      <c r="T48" s="52"/>
      <c r="AQ48" s="11"/>
      <c r="AR48" s="34">
        <v>150</v>
      </c>
      <c r="AS48" s="154">
        <v>0.121</v>
      </c>
      <c r="AT48" s="154">
        <v>0.122</v>
      </c>
      <c r="AU48" s="154">
        <v>0.111</v>
      </c>
      <c r="AV48" s="155">
        <v>0.11</v>
      </c>
      <c r="AW48" s="13"/>
    </row>
    <row r="49" spans="20:49" x14ac:dyDescent="0.2">
      <c r="T49" s="52"/>
      <c r="AQ49" s="11"/>
      <c r="AR49" s="34">
        <v>160</v>
      </c>
      <c r="AS49" s="154"/>
      <c r="AT49" s="154"/>
      <c r="AU49" s="154"/>
      <c r="AV49" s="155">
        <v>0.12</v>
      </c>
      <c r="AW49" s="13"/>
    </row>
    <row r="50" spans="20:49" x14ac:dyDescent="0.2">
      <c r="T50" s="52"/>
      <c r="AQ50" s="11"/>
      <c r="AR50" s="34">
        <v>165</v>
      </c>
      <c r="AS50" s="154"/>
      <c r="AT50" s="154"/>
      <c r="AU50" s="154"/>
      <c r="AV50" s="155">
        <v>0.13</v>
      </c>
      <c r="AW50" s="13"/>
    </row>
    <row r="51" spans="20:49" x14ac:dyDescent="0.2">
      <c r="T51" s="52"/>
      <c r="AQ51" s="11"/>
      <c r="AR51" s="34">
        <v>180</v>
      </c>
      <c r="AS51" s="154"/>
      <c r="AT51" s="154"/>
      <c r="AU51" s="154"/>
      <c r="AV51" s="155">
        <v>0.14000000000000001</v>
      </c>
      <c r="AW51" s="13"/>
    </row>
    <row r="52" spans="20:49" x14ac:dyDescent="0.2">
      <c r="T52" s="52"/>
      <c r="AQ52" s="11"/>
      <c r="AR52" s="34">
        <v>185</v>
      </c>
      <c r="AS52" s="154"/>
      <c r="AT52" s="154"/>
      <c r="AU52" s="154"/>
      <c r="AV52" s="155">
        <v>0.15</v>
      </c>
      <c r="AW52" s="13"/>
    </row>
    <row r="53" spans="20:49" x14ac:dyDescent="0.2">
      <c r="AQ53" s="11"/>
      <c r="AR53" s="34">
        <v>190</v>
      </c>
      <c r="AS53" s="154"/>
      <c r="AT53" s="154"/>
      <c r="AU53" s="154"/>
      <c r="AV53" s="155">
        <v>0.16</v>
      </c>
      <c r="AW53" s="13"/>
    </row>
    <row r="54" spans="20:49" ht="13.5" thickBot="1" x14ac:dyDescent="0.25">
      <c r="AQ54" s="11"/>
      <c r="AR54" s="40">
        <v>205</v>
      </c>
      <c r="AS54" s="156"/>
      <c r="AT54" s="156"/>
      <c r="AU54" s="156"/>
      <c r="AV54" s="157">
        <v>0.17</v>
      </c>
      <c r="AW54" s="13"/>
    </row>
    <row r="55" spans="20:49" ht="13.5" thickBot="1" x14ac:dyDescent="0.25">
      <c r="AQ55" s="17"/>
      <c r="AR55" s="18"/>
      <c r="AS55" s="18"/>
      <c r="AT55" s="18"/>
      <c r="AU55" s="18"/>
      <c r="AV55" s="18"/>
      <c r="AW55" s="19"/>
    </row>
  </sheetData>
  <sheetProtection algorithmName="SHA-512" hashValue="8MUUGH4cEN+HZQHmUegTR99375EWCFSGvqO+OKLyKMn5ZT+Ym3w6ukb50WQXUcbHDl15cpyJ29nnaKRKzRISfA==" saltValue="KK4gQ/6ypyU5wHXPcgmiQA==" spinCount="100000" sheet="1" objects="1" scenarios="1"/>
  <sortState ref="O6:O24">
    <sortCondition ref="O6"/>
  </sortState>
  <mergeCells count="24">
    <mergeCell ref="AQ4:AW4"/>
    <mergeCell ref="AR5:AV7"/>
    <mergeCell ref="AT39:AU39"/>
    <mergeCell ref="AK32:AM32"/>
    <mergeCell ref="AJ19:AK19"/>
    <mergeCell ref="AJ24:AK24"/>
    <mergeCell ref="AJ25:AK25"/>
    <mergeCell ref="AJ26:AK26"/>
    <mergeCell ref="AJ28:AN30"/>
    <mergeCell ref="AI4:AO4"/>
    <mergeCell ref="AJ5:AN7"/>
    <mergeCell ref="AJ17:AK17"/>
    <mergeCell ref="AJ18:AK18"/>
    <mergeCell ref="AR9:AT9"/>
    <mergeCell ref="AR21:AT21"/>
    <mergeCell ref="AR38:AR39"/>
    <mergeCell ref="B4:D4"/>
    <mergeCell ref="AB29:AF29"/>
    <mergeCell ref="AA4:AG4"/>
    <mergeCell ref="R4:Y4"/>
    <mergeCell ref="AB5:AF7"/>
    <mergeCell ref="F4:H4"/>
    <mergeCell ref="J4:L4"/>
    <mergeCell ref="N4:P4"/>
  </mergeCells>
  <pageMargins left="0.70866141732283472" right="0.70866141732283472" top="0.74803149606299213" bottom="0.74803149606299213" header="0.31496062992125984" footer="0.31496062992125984"/>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Informe - Planilla</vt:lpstr>
      <vt:lpstr>Informe preliminar</vt:lpstr>
      <vt:lpstr>Referencias</vt:lpstr>
      <vt:lpstr>Abertura_perforación</vt:lpstr>
      <vt:lpstr>Barrera_cortafuego</vt:lpstr>
      <vt:lpstr>Elementos_pasantes</vt:lpstr>
      <vt:lpstr>List_Items</vt:lpstr>
      <vt:lpstr>'Informe - Planilla'!Print_Area</vt:lpstr>
      <vt:lpstr>'Informe preliminar'!Print_Area</vt:lpstr>
      <vt:lpstr>Referencias!Print_Area</vt:lpstr>
      <vt:lpstr>'Informe - Planilla'!Print_Titles</vt:lpstr>
      <vt:lpstr>ProductTable</vt:lpstr>
      <vt:lpstr>Sello_cortafuego</vt:lpstr>
    </vt:vector>
  </TitlesOfParts>
  <Company>Hilti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Camilo Torres</dc:creator>
  <cp:lastModifiedBy>Juan Camilo Torres</cp:lastModifiedBy>
  <cp:lastPrinted>2015-09-23T17:45:29Z</cp:lastPrinted>
  <dcterms:created xsi:type="dcterms:W3CDTF">2010-05-31T11:18:45Z</dcterms:created>
  <dcterms:modified xsi:type="dcterms:W3CDTF">2016-06-30T18:08:56Z</dcterms:modified>
</cp:coreProperties>
</file>