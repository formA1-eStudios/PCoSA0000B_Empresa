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hilti01\Documents\Hilti Docs\Documentos de soporte\Herramientas\Apps\"/>
    </mc:Choice>
  </mc:AlternateContent>
  <bookViews>
    <workbookView xWindow="0" yWindow="7590" windowWidth="7305" windowHeight="4815"/>
  </bookViews>
  <sheets>
    <sheet name="Informe de rendimiento" sheetId="6" r:id="rId1"/>
    <sheet name="Referencias" sheetId="7" state="hidden" r:id="rId2"/>
  </sheets>
  <definedNames>
    <definedName name="_0.25">'Informe de rendimiento'!$I$23:$I$24</definedName>
    <definedName name="_0.375">'Informe de rendimiento'!$J$23:$J$24</definedName>
    <definedName name="_0.5">'Informe de rendimiento'!$K$23:$K$24</definedName>
    <definedName name="_0.625">'Informe de rendimiento'!$L$23</definedName>
    <definedName name="_0.75">'Informe de rendimiento'!$M$23</definedName>
    <definedName name="_0.875">'Informe de rendimiento'!$N$23</definedName>
    <definedName name="_1.">'Informe de rendimiento'!$O$23:$O$24</definedName>
    <definedName name="_1.125">'Informe de rendimiento'!$P$23:$P$24</definedName>
    <definedName name="_1.25">'Informe de rendimiento'!$Q$23:$Q$24</definedName>
    <definedName name="_1.375">'Informe de rendimiento'!$R$23:$R$24</definedName>
    <definedName name="_1.5">'Informe de rendimiento'!$S$23:$S$24</definedName>
    <definedName name="Matriz_Consumo_MM">Referencias!$L$21:$R$25</definedName>
    <definedName name="Matriz_consumos">Referencias!$L$6:$R$16</definedName>
    <definedName name="Matriz_empotramientos">Referencias!$V$6:$Y$16</definedName>
    <definedName name="Matriz_perforaciones">Referencias!$B$6:$H$16</definedName>
    <definedName name="Matriz_productos_ref">Referencias!$AD$4:$AF$5</definedName>
    <definedName name="Matriz_rendimietos_cartuchos">Referencias!$AC$6:$AF$10</definedName>
    <definedName name="_xlnm.Print_Area" localSheetId="0">'Informe de rendimiento'!$A$1:$F$42</definedName>
    <definedName name="_xlnm.Print_Area" localSheetId="1">Referencias!$AB$31</definedName>
  </definedNames>
  <calcPr calcId="152511"/>
</workbook>
</file>

<file path=xl/calcChain.xml><?xml version="1.0" encoding="utf-8"?>
<calcChain xmlns="http://schemas.openxmlformats.org/spreadsheetml/2006/main">
  <c r="P10" i="7" l="1"/>
  <c r="P9" i="7"/>
  <c r="C24" i="6" l="1"/>
  <c r="Q12" i="7"/>
  <c r="O12" i="7"/>
  <c r="M12" i="7"/>
  <c r="H22" i="6" l="1"/>
  <c r="D23" i="6" l="1"/>
  <c r="E33" i="6"/>
  <c r="D30" i="6"/>
  <c r="D32" i="6"/>
  <c r="M4" i="7"/>
  <c r="O4" i="7"/>
  <c r="Q4" i="7"/>
  <c r="W4" i="7"/>
  <c r="X4" i="7"/>
  <c r="Y4" i="7"/>
  <c r="AD4" i="7"/>
  <c r="AE4" i="7"/>
  <c r="AF4" i="7"/>
  <c r="N6" i="7"/>
  <c r="O6" i="7"/>
  <c r="P6" i="7"/>
  <c r="Q6" i="7"/>
  <c r="R6" i="7"/>
  <c r="W6" i="7"/>
  <c r="X6" i="7"/>
  <c r="Y6" i="7"/>
  <c r="M7" i="7"/>
  <c r="N7" i="7"/>
  <c r="O7" i="7"/>
  <c r="P7" i="7"/>
  <c r="Q7" i="7"/>
  <c r="R7" i="7"/>
  <c r="W7" i="7"/>
  <c r="X7" i="7"/>
  <c r="Y7" i="7"/>
  <c r="M8" i="7"/>
  <c r="N8" i="7"/>
  <c r="O8" i="7"/>
  <c r="P8" i="7"/>
  <c r="Q8" i="7"/>
  <c r="R8" i="7"/>
  <c r="W8" i="7"/>
  <c r="X8" i="7"/>
  <c r="Y8" i="7"/>
  <c r="M9" i="7"/>
  <c r="N9" i="7"/>
  <c r="O9" i="7"/>
  <c r="Q9" i="7"/>
  <c r="R9" i="7"/>
  <c r="W9" i="7"/>
  <c r="X9" i="7"/>
  <c r="Y9" i="7"/>
  <c r="M10" i="7"/>
  <c r="N10" i="7"/>
  <c r="O10" i="7"/>
  <c r="Q10" i="7"/>
  <c r="R10" i="7"/>
  <c r="W10" i="7"/>
  <c r="X10" i="7"/>
  <c r="Y10" i="7"/>
  <c r="M11" i="7"/>
  <c r="N11" i="7"/>
  <c r="O11" i="7"/>
  <c r="P11" i="7"/>
  <c r="Q11" i="7"/>
  <c r="R11" i="7"/>
  <c r="W11" i="7"/>
  <c r="X11" i="7"/>
  <c r="Y11" i="7"/>
  <c r="N12" i="7"/>
  <c r="P12" i="7"/>
  <c r="R12" i="7"/>
  <c r="W12" i="7"/>
  <c r="X12" i="7"/>
  <c r="Y12" i="7"/>
  <c r="M13" i="7"/>
  <c r="N13" i="7"/>
  <c r="O13" i="7"/>
  <c r="P13" i="7"/>
  <c r="Q13" i="7"/>
  <c r="R13" i="7"/>
  <c r="W13" i="7"/>
  <c r="X13" i="7"/>
  <c r="Y13" i="7"/>
  <c r="M14" i="7"/>
  <c r="N14" i="7"/>
  <c r="O14" i="7"/>
  <c r="P14" i="7"/>
  <c r="Q14" i="7"/>
  <c r="R14" i="7"/>
  <c r="W14" i="7"/>
  <c r="X14" i="7"/>
  <c r="Y14" i="7"/>
  <c r="M15" i="7"/>
  <c r="Q15" i="7" s="1"/>
  <c r="O15" i="7"/>
  <c r="P15" i="7"/>
  <c r="R15" i="7"/>
  <c r="W15" i="7"/>
  <c r="X15" i="7"/>
  <c r="Y15" i="7"/>
  <c r="O16" i="7"/>
  <c r="P16" i="7"/>
  <c r="Q16" i="7"/>
  <c r="R16" i="7"/>
  <c r="W16" i="7"/>
  <c r="X16" i="7"/>
  <c r="Y16" i="7"/>
  <c r="M22" i="7"/>
  <c r="N22" i="7"/>
  <c r="O23" i="7"/>
  <c r="P23" i="7"/>
  <c r="O24" i="7"/>
  <c r="P24" i="7"/>
  <c r="Q25" i="7"/>
  <c r="R25" i="7"/>
  <c r="C23" i="6" l="1"/>
  <c r="D33" i="6" s="1"/>
  <c r="D34" i="6" s="1"/>
  <c r="D35" i="6" s="1"/>
</calcChain>
</file>

<file path=xl/sharedStrings.xml><?xml version="1.0" encoding="utf-8"?>
<sst xmlns="http://schemas.openxmlformats.org/spreadsheetml/2006/main" count="81" uniqueCount="51">
  <si>
    <t>Fecha /Date:</t>
  </si>
  <si>
    <t xml:space="preserve">Asunto / Subject: </t>
  </si>
  <si>
    <t>Memo</t>
  </si>
  <si>
    <t>Copias a / Copy to:</t>
  </si>
  <si>
    <t>N/A</t>
  </si>
  <si>
    <t>-</t>
  </si>
  <si>
    <t>Tamiz HIT SC 18x85</t>
  </si>
  <si>
    <t>Tamiz HIT SC 18x50</t>
  </si>
  <si>
    <t>Tamiz HIT SC 16x85</t>
  </si>
  <si>
    <t>Tamiz HIT SC 16x50</t>
  </si>
  <si>
    <t>Tamiz HIT SC 12x85</t>
  </si>
  <si>
    <t>Tamiz HIT SC 12x50</t>
  </si>
  <si>
    <t>Varilla Roscada</t>
  </si>
  <si>
    <t>MB Hueco</t>
  </si>
  <si>
    <t>HIT-MM PLUS</t>
  </si>
  <si>
    <t>Diametros</t>
  </si>
  <si>
    <t>SOLIDO</t>
  </si>
  <si>
    <t>HIT-HY 200 R</t>
  </si>
  <si>
    <t>HIT-RE 500 SD</t>
  </si>
  <si>
    <t>VOLUMENES ÚTILES DE CARTUCHOS</t>
  </si>
  <si>
    <t>EMPOTRAMIENTO ESTÁNDAR</t>
  </si>
  <si>
    <t>CONSUMO DE ADHESIVO (cm3/cm)</t>
  </si>
  <si>
    <t>OPCIONES DE PERFORACION</t>
  </si>
  <si>
    <t>Cliente</t>
  </si>
  <si>
    <t>Número total de cartuchos :</t>
  </si>
  <si>
    <t>Número de aplicaciones por cartucho :</t>
  </si>
  <si>
    <t>Volumen de producto por aplicación :</t>
  </si>
  <si>
    <t>Volumen de cartucho :</t>
  </si>
  <si>
    <t>Cálculo de consumos</t>
  </si>
  <si>
    <t>R  E  S  U  L  T  A  D  O  S</t>
  </si>
  <si>
    <t>Desperdicio de operación :</t>
  </si>
  <si>
    <t>Profundidad de empotramiento :</t>
  </si>
  <si>
    <t>Diámetro de perforaciones :</t>
  </si>
  <si>
    <t>Diámetro de anclajes :</t>
  </si>
  <si>
    <t>Tipo de varilla :</t>
  </si>
  <si>
    <t>Producto Hilti :</t>
  </si>
  <si>
    <t>Cantidad de aplicaciones :</t>
  </si>
  <si>
    <t>Información de la aplicación</t>
  </si>
  <si>
    <t>D A T O S    D E    E N T R A D A</t>
  </si>
  <si>
    <t>Para / to</t>
  </si>
  <si>
    <t>De / from</t>
  </si>
  <si>
    <t>EMPRESA/CLIENTE</t>
  </si>
  <si>
    <t>Destinatario</t>
  </si>
  <si>
    <t>Remitente</t>
  </si>
  <si>
    <t>Hilti Colombia S.A.S</t>
  </si>
  <si>
    <t>Calculador de rendimientos de adhesivos inyectables</t>
  </si>
  <si>
    <r>
      <rPr>
        <b/>
        <i/>
        <sz val="8"/>
        <rFont val="Arial"/>
        <family val="2"/>
      </rPr>
      <t>Notas:</t>
    </r>
    <r>
      <rPr>
        <i/>
        <sz val="8"/>
        <rFont val="Arial"/>
        <family val="2"/>
      </rPr>
      <t xml:space="preserve"> El cálculo se realiza con base en la información suministrada. Estas cantidades son estimadas para condiciones normales de instalación utilizando todas las herramientas y siguiendo los procedimientos de acuerdo a las recomendaciones del fabricante. Hilti no garantiza que las cantidades estimadas y mostradas sean totalmente precisas para la aplicación y no se hace responsable por las variaciones resultantes de condiciones reales no consideradas.</t>
    </r>
  </si>
  <si>
    <t>Representante Hilti</t>
  </si>
  <si>
    <t>Varilla corrugada</t>
  </si>
  <si>
    <t>PROYECTO / OBRA / PLANTA:</t>
  </si>
  <si>
    <t>Ingrese a continuación los datos indicados sobre la especificación de los anclajes. Todos los campos son obligatorios para el cálculo del volumen de producto necesario.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</si>
</sst>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&quot; ml&quot;"/>
    <numFmt numFmtId="165" formatCode="#\ ??/??&quot; ml&quot;"/>
    <numFmt numFmtId="166" formatCode="0.00&quot; cm&quot;"/>
    <numFmt numFmtId="167" formatCode="0.0000"/>
    <numFmt numFmtId="168" formatCode="&quot;(&quot;0&quot; ml)&quot;"/>
    <numFmt numFmtId="169" formatCode="0.0&quot; cm&quot;"/>
    <numFmt numFmtId="170" formatCode="#\ ??/??&quot;''&quot;"/>
    <numFmt numFmtId="171" formatCode="@&quot;)&quot;"/>
    <numFmt numFmtId="172" formatCode="#,##0\ &quot;anclajes&quot;"/>
    <numFmt numFmtId="173" formatCode="\(0&quot; ml)&quot;"/>
    <numFmt numFmtId="174" formatCode="0.0&quot; ml&quot;"/>
    <numFmt numFmtId="175" formatCode="0.0"/>
  </numFmts>
  <fonts count="19" x14ac:knownFonts="1"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2"/>
      <color theme="0"/>
      <name val="Arial"/>
      <family val="2"/>
    </font>
    <font>
      <b/>
      <sz val="14"/>
      <color theme="0"/>
      <name val="Arial Rounded MT Bold"/>
      <family val="2"/>
    </font>
    <font>
      <sz val="12"/>
      <name val="Arial"/>
      <family val="2"/>
    </font>
    <font>
      <b/>
      <i/>
      <sz val="8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i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D10024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1002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</fills>
  <borders count="1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11">
    <xf numFmtId="0" fontId="0" fillId="0" borderId="0" xfId="0"/>
    <xf numFmtId="0" fontId="4" fillId="0" borderId="0" xfId="107" applyProtection="1"/>
    <xf numFmtId="0" fontId="4" fillId="0" borderId="0" xfId="107" applyProtection="1">
      <protection locked="0"/>
    </xf>
    <xf numFmtId="3" fontId="4" fillId="0" borderId="0" xfId="107" applyNumberFormat="1" applyProtection="1"/>
    <xf numFmtId="0" fontId="4" fillId="0" borderId="5" xfId="107" applyBorder="1" applyProtection="1">
      <protection locked="0"/>
    </xf>
    <xf numFmtId="0" fontId="4" fillId="0" borderId="2" xfId="107" applyBorder="1" applyProtection="1">
      <protection locked="0"/>
    </xf>
    <xf numFmtId="0" fontId="4" fillId="0" borderId="6" xfId="107" applyBorder="1" applyProtection="1">
      <protection locked="0"/>
    </xf>
    <xf numFmtId="0" fontId="4" fillId="0" borderId="7" xfId="107" applyBorder="1" applyProtection="1">
      <protection locked="0"/>
    </xf>
    <xf numFmtId="0" fontId="4" fillId="0" borderId="0" xfId="107" applyBorder="1" applyProtection="1">
      <protection locked="0"/>
    </xf>
    <xf numFmtId="0" fontId="4" fillId="0" borderId="8" xfId="107" applyBorder="1" applyProtection="1">
      <protection locked="0"/>
    </xf>
    <xf numFmtId="0" fontId="4" fillId="0" borderId="0" xfId="107" applyFont="1" applyProtection="1"/>
    <xf numFmtId="0" fontId="4" fillId="0" borderId="5" xfId="107" applyBorder="1" applyProtection="1"/>
    <xf numFmtId="0" fontId="4" fillId="0" borderId="2" xfId="107" applyBorder="1" applyProtection="1"/>
    <xf numFmtId="0" fontId="4" fillId="0" borderId="6" xfId="107" applyBorder="1" applyProtection="1"/>
    <xf numFmtId="0" fontId="4" fillId="0" borderId="7" xfId="107" applyBorder="1" applyProtection="1"/>
    <xf numFmtId="0" fontId="4" fillId="0" borderId="0" xfId="107" applyBorder="1" applyProtection="1"/>
    <xf numFmtId="0" fontId="4" fillId="0" borderId="8" xfId="107" applyBorder="1" applyProtection="1"/>
    <xf numFmtId="2" fontId="4" fillId="0" borderId="9" xfId="107" applyNumberFormat="1" applyBorder="1" applyProtection="1"/>
    <xf numFmtId="2" fontId="4" fillId="0" borderId="9" xfId="107" applyNumberFormat="1" applyFont="1" applyBorder="1" applyProtection="1"/>
    <xf numFmtId="13" fontId="5" fillId="2" borderId="9" xfId="107" applyNumberFormat="1" applyFont="1" applyFill="1" applyBorder="1" applyProtection="1"/>
    <xf numFmtId="164" fontId="6" fillId="3" borderId="9" xfId="107" applyNumberFormat="1" applyFont="1" applyFill="1" applyBorder="1" applyAlignment="1" applyProtection="1">
      <protection locked="0"/>
    </xf>
    <xf numFmtId="164" fontId="3" fillId="4" borderId="9" xfId="107" applyNumberFormat="1" applyFont="1" applyFill="1" applyBorder="1" applyAlignment="1" applyProtection="1">
      <protection locked="0"/>
    </xf>
    <xf numFmtId="165" fontId="3" fillId="4" borderId="9" xfId="107" applyNumberFormat="1" applyFont="1" applyFill="1" applyBorder="1" applyAlignment="1" applyProtection="1">
      <protection locked="0"/>
    </xf>
    <xf numFmtId="0" fontId="4" fillId="5" borderId="9" xfId="107" applyFont="1" applyFill="1" applyBorder="1" applyProtection="1"/>
    <xf numFmtId="13" fontId="5" fillId="2" borderId="7" xfId="107" applyNumberFormat="1" applyFont="1" applyFill="1" applyBorder="1" applyProtection="1"/>
    <xf numFmtId="166" fontId="4" fillId="0" borderId="9" xfId="107" applyNumberFormat="1" applyBorder="1" applyAlignment="1" applyProtection="1">
      <alignment horizontal="center"/>
    </xf>
    <xf numFmtId="167" fontId="4" fillId="7" borderId="9" xfId="107" applyNumberFormat="1" applyFill="1" applyBorder="1" applyAlignment="1" applyProtection="1">
      <alignment horizontal="right"/>
    </xf>
    <xf numFmtId="167" fontId="4" fillId="0" borderId="9" xfId="107" applyNumberFormat="1" applyBorder="1" applyAlignment="1" applyProtection="1">
      <alignment horizontal="right"/>
    </xf>
    <xf numFmtId="0" fontId="8" fillId="0" borderId="8" xfId="107" applyFont="1" applyBorder="1" applyProtection="1">
      <protection locked="0"/>
    </xf>
    <xf numFmtId="0" fontId="8" fillId="0" borderId="0" xfId="107" applyFont="1" applyProtection="1"/>
    <xf numFmtId="0" fontId="8" fillId="0" borderId="9" xfId="107" applyFont="1" applyBorder="1" applyProtection="1"/>
    <xf numFmtId="0" fontId="4" fillId="6" borderId="9" xfId="107" applyFont="1" applyFill="1" applyBorder="1" applyProtection="1"/>
    <xf numFmtId="0" fontId="8" fillId="0" borderId="8" xfId="107" applyFont="1" applyBorder="1" applyProtection="1"/>
    <xf numFmtId="0" fontId="4" fillId="8" borderId="9" xfId="107" applyFill="1" applyBorder="1" applyAlignment="1" applyProtection="1">
      <alignment horizontal="center"/>
    </xf>
    <xf numFmtId="0" fontId="4" fillId="8" borderId="9" xfId="107" applyFont="1" applyFill="1" applyBorder="1" applyAlignment="1" applyProtection="1">
      <alignment horizontal="center"/>
    </xf>
    <xf numFmtId="0" fontId="7" fillId="6" borderId="9" xfId="107" applyFont="1" applyFill="1" applyBorder="1" applyAlignment="1" applyProtection="1">
      <alignment horizontal="center"/>
      <protection locked="0"/>
    </xf>
    <xf numFmtId="0" fontId="4" fillId="6" borderId="9" xfId="107" applyFill="1" applyBorder="1" applyProtection="1">
      <protection locked="0"/>
    </xf>
    <xf numFmtId="0" fontId="4" fillId="6" borderId="9" xfId="107" applyFont="1" applyFill="1" applyBorder="1" applyAlignment="1" applyProtection="1">
      <alignment horizontal="center"/>
      <protection locked="0"/>
    </xf>
    <xf numFmtId="0" fontId="4" fillId="0" borderId="0" xfId="107" applyFont="1" applyBorder="1" applyAlignment="1" applyProtection="1">
      <alignment horizontal="center"/>
    </xf>
    <xf numFmtId="0" fontId="4" fillId="0" borderId="0" xfId="107" applyFont="1" applyBorder="1" applyProtection="1">
      <protection locked="0"/>
    </xf>
    <xf numFmtId="0" fontId="9" fillId="2" borderId="0" xfId="107" applyFont="1" applyFill="1" applyAlignment="1" applyProtection="1"/>
    <xf numFmtId="0" fontId="11" fillId="2" borderId="0" xfId="107" applyFont="1" applyFill="1" applyProtection="1"/>
    <xf numFmtId="0" fontId="11" fillId="2" borderId="0" xfId="107" applyFont="1" applyFill="1" applyAlignment="1" applyProtection="1">
      <alignment horizontal="right"/>
    </xf>
    <xf numFmtId="0" fontId="11" fillId="2" borderId="0" xfId="107" applyFont="1" applyFill="1" applyAlignment="1" applyProtection="1"/>
    <xf numFmtId="169" fontId="11" fillId="2" borderId="0" xfId="107" applyNumberFormat="1" applyFont="1" applyFill="1" applyBorder="1" applyProtection="1"/>
    <xf numFmtId="0" fontId="11" fillId="0" borderId="0" xfId="107" applyFont="1" applyBorder="1" applyAlignment="1" applyProtection="1">
      <alignment horizontal="left" indent="2"/>
    </xf>
    <xf numFmtId="0" fontId="11" fillId="2" borderId="0" xfId="107" applyFont="1" applyFill="1" applyAlignment="1" applyProtection="1">
      <alignment horizontal="right" indent="2"/>
    </xf>
    <xf numFmtId="0" fontId="12" fillId="2" borderId="0" xfId="107" applyFont="1" applyFill="1" applyAlignment="1" applyProtection="1">
      <alignment horizontal="left" vertical="top"/>
    </xf>
    <xf numFmtId="0" fontId="11" fillId="2" borderId="0" xfId="107" applyFont="1" applyFill="1" applyAlignment="1" applyProtection="1">
      <alignment horizontal="left" vertical="top"/>
    </xf>
    <xf numFmtId="0" fontId="11" fillId="11" borderId="4" xfId="107" applyFont="1" applyFill="1" applyBorder="1" applyAlignment="1" applyProtection="1">
      <alignment horizontal="left" vertical="top"/>
      <protection locked="0"/>
    </xf>
    <xf numFmtId="0" fontId="4" fillId="11" borderId="0" xfId="107" applyFont="1" applyFill="1" applyAlignment="1" applyProtection="1">
      <alignment horizontal="left" vertical="top"/>
    </xf>
    <xf numFmtId="0" fontId="11" fillId="11" borderId="10" xfId="107" applyFont="1" applyFill="1" applyBorder="1" applyAlignment="1" applyProtection="1">
      <alignment horizontal="left" vertical="top"/>
      <protection locked="0"/>
    </xf>
    <xf numFmtId="170" fontId="11" fillId="11" borderId="4" xfId="107" applyNumberFormat="1" applyFont="1" applyFill="1" applyBorder="1" applyAlignment="1" applyProtection="1">
      <alignment horizontal="left" vertical="top"/>
      <protection locked="0"/>
    </xf>
    <xf numFmtId="0" fontId="11" fillId="11" borderId="0" xfId="107" applyFont="1" applyFill="1" applyAlignment="1" applyProtection="1">
      <alignment horizontal="left" vertical="top"/>
    </xf>
    <xf numFmtId="169" fontId="11" fillId="11" borderId="4" xfId="107" applyNumberFormat="1" applyFont="1" applyFill="1" applyBorder="1" applyAlignment="1" applyProtection="1">
      <alignment horizontal="left" vertical="top"/>
      <protection locked="0"/>
    </xf>
    <xf numFmtId="9" fontId="11" fillId="11" borderId="4" xfId="108" applyFont="1" applyFill="1" applyBorder="1" applyAlignment="1" applyProtection="1">
      <alignment horizontal="left" vertical="top"/>
      <protection locked="0"/>
    </xf>
    <xf numFmtId="0" fontId="11" fillId="2" borderId="0" xfId="107" applyFont="1" applyFill="1" applyAlignment="1" applyProtection="1">
      <alignment horizontal="left" vertical="top" indent="1"/>
    </xf>
    <xf numFmtId="0" fontId="14" fillId="6" borderId="0" xfId="107" applyFont="1" applyFill="1" applyBorder="1" applyAlignment="1" applyProtection="1">
      <alignment horizontal="left" vertical="center"/>
    </xf>
    <xf numFmtId="168" fontId="11" fillId="2" borderId="4" xfId="107" applyNumberFormat="1" applyFont="1" applyFill="1" applyBorder="1" applyAlignment="1" applyProtection="1">
      <alignment horizontal="left"/>
    </xf>
    <xf numFmtId="0" fontId="4" fillId="0" borderId="0" xfId="0" applyFont="1" applyProtection="1"/>
    <xf numFmtId="0" fontId="4" fillId="0" borderId="0" xfId="0" applyFont="1" applyAlignment="1" applyProtection="1">
      <alignment horizontal="center"/>
    </xf>
    <xf numFmtId="0" fontId="4" fillId="0" borderId="1" xfId="107" applyFont="1" applyBorder="1" applyAlignment="1" applyProtection="1">
      <alignment horizontal="center" vertical="top"/>
    </xf>
    <xf numFmtId="3" fontId="17" fillId="2" borderId="4" xfId="107" applyNumberFormat="1" applyFont="1" applyFill="1" applyBorder="1" applyAlignment="1" applyProtection="1">
      <alignment horizontal="center"/>
    </xf>
    <xf numFmtId="0" fontId="9" fillId="11" borderId="0" xfId="107" applyFont="1" applyFill="1" applyAlignment="1" applyProtection="1">
      <alignment horizontal="left" vertical="top"/>
    </xf>
    <xf numFmtId="12" fontId="4" fillId="0" borderId="0" xfId="0" applyNumberFormat="1" applyFont="1" applyProtection="1"/>
    <xf numFmtId="171" fontId="11" fillId="2" borderId="0" xfId="107" applyNumberFormat="1" applyFont="1" applyFill="1" applyProtection="1"/>
    <xf numFmtId="12" fontId="4" fillId="0" borderId="9" xfId="0" applyNumberFormat="1" applyFont="1" applyBorder="1" applyProtection="1"/>
    <xf numFmtId="13" fontId="4" fillId="0" borderId="17" xfId="0" applyNumberFormat="1" applyFont="1" applyBorder="1" applyProtection="1"/>
    <xf numFmtId="12" fontId="4" fillId="0" borderId="17" xfId="0" applyNumberFormat="1" applyFont="1" applyBorder="1" applyProtection="1"/>
    <xf numFmtId="12" fontId="4" fillId="0" borderId="16" xfId="0" applyNumberFormat="1" applyFont="1" applyBorder="1" applyProtection="1"/>
    <xf numFmtId="172" fontId="11" fillId="11" borderId="4" xfId="107" applyNumberFormat="1" applyFont="1" applyFill="1" applyBorder="1" applyAlignment="1" applyProtection="1">
      <alignment horizontal="left" vertical="top"/>
      <protection locked="0"/>
    </xf>
    <xf numFmtId="173" fontId="11" fillId="11" borderId="4" xfId="107" applyNumberFormat="1" applyFont="1" applyFill="1" applyBorder="1" applyAlignment="1" applyProtection="1">
      <alignment horizontal="left" vertical="top"/>
      <protection locked="0"/>
    </xf>
    <xf numFmtId="174" fontId="11" fillId="2" borderId="4" xfId="107" applyNumberFormat="1" applyFont="1" applyFill="1" applyBorder="1" applyAlignment="1" applyProtection="1">
      <alignment horizontal="left"/>
    </xf>
    <xf numFmtId="175" fontId="11" fillId="2" borderId="4" xfId="107" applyNumberFormat="1" applyFont="1" applyFill="1" applyBorder="1" applyAlignment="1" applyProtection="1">
      <alignment horizontal="left"/>
    </xf>
    <xf numFmtId="0" fontId="18" fillId="2" borderId="0" xfId="107" applyFont="1" applyFill="1" applyAlignment="1" applyProtection="1">
      <alignment horizontal="left" vertical="top" wrapText="1"/>
    </xf>
    <xf numFmtId="0" fontId="16" fillId="0" borderId="0" xfId="0" applyFont="1" applyBorder="1" applyAlignment="1" applyProtection="1">
      <alignment horizontal="left" wrapText="1" indent="9"/>
      <protection locked="0"/>
    </xf>
    <xf numFmtId="0" fontId="15" fillId="0" borderId="3" xfId="0" applyFont="1" applyBorder="1" applyAlignment="1" applyProtection="1">
      <alignment horizontal="left" vertical="top" wrapText="1"/>
    </xf>
    <xf numFmtId="0" fontId="15" fillId="0" borderId="1" xfId="0" applyFont="1" applyBorder="1" applyAlignment="1" applyProtection="1">
      <alignment horizontal="left" wrapText="1"/>
    </xf>
    <xf numFmtId="0" fontId="16" fillId="0" borderId="0" xfId="0" applyFont="1" applyBorder="1" applyAlignment="1" applyProtection="1">
      <alignment horizontal="left" vertical="top" wrapText="1" indent="1"/>
      <protection locked="0"/>
    </xf>
    <xf numFmtId="15" fontId="4" fillId="0" borderId="0" xfId="0" applyNumberFormat="1" applyFont="1" applyBorder="1" applyAlignment="1" applyProtection="1">
      <alignment horizontal="center" vertical="center" wrapText="1"/>
      <protection locked="0"/>
    </xf>
    <xf numFmtId="15" fontId="4" fillId="0" borderId="2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left" vertical="top" wrapText="1" indent="1"/>
      <protection locked="0"/>
    </xf>
    <xf numFmtId="0" fontId="16" fillId="0" borderId="3" xfId="0" applyFont="1" applyBorder="1" applyAlignment="1" applyProtection="1">
      <alignment horizontal="left" vertical="top" wrapText="1"/>
    </xf>
    <xf numFmtId="0" fontId="16" fillId="0" borderId="1" xfId="0" applyFont="1" applyBorder="1" applyAlignment="1" applyProtection="1">
      <alignment horizontal="left" wrapText="1" indent="1"/>
    </xf>
    <xf numFmtId="0" fontId="4" fillId="0" borderId="4" xfId="0" applyFont="1" applyBorder="1" applyAlignment="1" applyProtection="1">
      <alignment horizontal="left" vertical="top" wrapText="1" indent="1"/>
    </xf>
    <xf numFmtId="0" fontId="16" fillId="0" borderId="2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left" vertical="top" wrapText="1"/>
    </xf>
    <xf numFmtId="0" fontId="13" fillId="6" borderId="0" xfId="107" applyFont="1" applyFill="1" applyBorder="1" applyAlignment="1" applyProtection="1">
      <alignment horizontal="left" indent="1"/>
    </xf>
    <xf numFmtId="0" fontId="4" fillId="0" borderId="0" xfId="107" applyFont="1" applyAlignment="1" applyProtection="1">
      <alignment horizontal="center"/>
    </xf>
    <xf numFmtId="0" fontId="4" fillId="0" borderId="0" xfId="107" applyFont="1" applyAlignment="1" applyProtection="1">
      <protection locked="0"/>
    </xf>
    <xf numFmtId="0" fontId="4" fillId="0" borderId="2" xfId="107" applyFont="1" applyBorder="1" applyAlignment="1" applyProtection="1">
      <protection locked="0"/>
    </xf>
    <xf numFmtId="0" fontId="4" fillId="0" borderId="0" xfId="107" applyFont="1" applyAlignment="1" applyProtection="1">
      <alignment horizontal="center"/>
      <protection locked="0"/>
    </xf>
    <xf numFmtId="0" fontId="4" fillId="0" borderId="2" xfId="107" applyFont="1" applyBorder="1" applyAlignment="1" applyProtection="1">
      <alignment horizontal="center"/>
      <protection locked="0"/>
    </xf>
    <xf numFmtId="0" fontId="11" fillId="2" borderId="0" xfId="107" applyFont="1" applyFill="1" applyAlignment="1" applyProtection="1">
      <alignment horizontal="left" indent="1"/>
    </xf>
    <xf numFmtId="0" fontId="10" fillId="10" borderId="0" xfId="107" applyFont="1" applyFill="1" applyBorder="1" applyAlignment="1" applyProtection="1">
      <alignment horizontal="left" indent="2"/>
    </xf>
    <xf numFmtId="0" fontId="11" fillId="2" borderId="4" xfId="107" applyFont="1" applyFill="1" applyBorder="1" applyAlignment="1" applyProtection="1">
      <alignment horizontal="left" vertical="top" indent="1"/>
      <protection locked="0"/>
    </xf>
    <xf numFmtId="0" fontId="16" fillId="0" borderId="0" xfId="0" applyFont="1" applyBorder="1" applyAlignment="1" applyProtection="1">
      <alignment horizontal="left" vertical="top" wrapText="1" indent="1"/>
    </xf>
    <xf numFmtId="0" fontId="11" fillId="2" borderId="0" xfId="107" applyFont="1" applyFill="1" applyAlignment="1" applyProtection="1">
      <alignment horizontal="left" vertical="top" wrapText="1"/>
    </xf>
    <xf numFmtId="0" fontId="6" fillId="9" borderId="15" xfId="107" applyFont="1" applyFill="1" applyBorder="1" applyAlignment="1" applyProtection="1">
      <alignment horizontal="center"/>
      <protection locked="0"/>
    </xf>
    <xf numFmtId="0" fontId="6" fillId="9" borderId="14" xfId="107" applyFont="1" applyFill="1" applyBorder="1" applyAlignment="1" applyProtection="1">
      <alignment horizontal="center"/>
      <protection locked="0"/>
    </xf>
    <xf numFmtId="0" fontId="6" fillId="9" borderId="13" xfId="107" applyFont="1" applyFill="1" applyBorder="1" applyAlignment="1" applyProtection="1">
      <alignment horizontal="center"/>
      <protection locked="0"/>
    </xf>
    <xf numFmtId="0" fontId="6" fillId="9" borderId="15" xfId="107" applyFont="1" applyFill="1" applyBorder="1" applyAlignment="1" applyProtection="1">
      <alignment horizontal="center"/>
    </xf>
    <xf numFmtId="0" fontId="6" fillId="9" borderId="14" xfId="107" applyFont="1" applyFill="1" applyBorder="1" applyAlignment="1" applyProtection="1">
      <alignment horizontal="center"/>
    </xf>
    <xf numFmtId="0" fontId="6" fillId="9" borderId="13" xfId="107" applyFont="1" applyFill="1" applyBorder="1" applyAlignment="1" applyProtection="1">
      <alignment horizontal="center"/>
    </xf>
    <xf numFmtId="0" fontId="8" fillId="6" borderId="9" xfId="107" applyFont="1" applyFill="1" applyBorder="1" applyAlignment="1" applyProtection="1">
      <alignment horizontal="center"/>
    </xf>
    <xf numFmtId="0" fontId="7" fillId="0" borderId="11" xfId="107" applyFont="1" applyBorder="1" applyAlignment="1" applyProtection="1">
      <alignment horizontal="right" indent="2"/>
    </xf>
    <xf numFmtId="0" fontId="7" fillId="0" borderId="10" xfId="107" applyFont="1" applyBorder="1" applyAlignment="1" applyProtection="1">
      <alignment horizontal="right" indent="2"/>
    </xf>
    <xf numFmtId="0" fontId="7" fillId="0" borderId="10" xfId="107" applyFont="1" applyBorder="1" applyAlignment="1" applyProtection="1">
      <alignment horizontal="left" indent="2"/>
    </xf>
    <xf numFmtId="0" fontId="8" fillId="6" borderId="11" xfId="107" applyFont="1" applyFill="1" applyBorder="1" applyAlignment="1" applyProtection="1">
      <alignment horizontal="center"/>
    </xf>
    <xf numFmtId="0" fontId="8" fillId="6" borderId="10" xfId="107" applyFont="1" applyFill="1" applyBorder="1" applyAlignment="1" applyProtection="1">
      <alignment horizontal="center"/>
    </xf>
    <xf numFmtId="0" fontId="8" fillId="6" borderId="12" xfId="107" applyFont="1" applyFill="1" applyBorder="1" applyAlignment="1" applyProtection="1">
      <alignment horizontal="center"/>
    </xf>
  </cellXfs>
  <cellStyles count="10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Normal" xfId="0" builtinId="0"/>
    <cellStyle name="Normal 2" xfId="107"/>
    <cellStyle name="Percent 2" xfId="108"/>
  </cellStyles>
  <dxfs count="4">
    <dxf>
      <numFmt numFmtId="176" formatCode="0&quot; ''&quot;"/>
    </dxf>
    <dxf>
      <font>
        <strike val="0"/>
        <color rgb="FF92D050"/>
      </font>
      <fill>
        <patternFill patternType="darkGrid">
          <fgColor rgb="FF92D050"/>
        </patternFill>
      </fill>
    </dxf>
    <dxf>
      <fill>
        <patternFill patternType="darkGrid">
          <fgColor theme="0"/>
          <bgColor rgb="FF92D050"/>
        </patternFill>
      </fill>
    </dxf>
    <dxf>
      <numFmt numFmtId="170" formatCode="#\ ??/??&quot;''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161925</xdr:colOff>
      <xdr:row>10</xdr:row>
      <xdr:rowOff>66675</xdr:rowOff>
    </xdr:from>
    <xdr:ext cx="4791075" cy="3140834"/>
    <xdr:pic>
      <xdr:nvPicPr>
        <xdr:cNvPr id="2" name="3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1885950"/>
          <a:ext cx="4791075" cy="3140834"/>
        </a:xfrm>
        <a:prstGeom prst="rect">
          <a:avLst/>
        </a:prstGeom>
      </xdr:spPr>
    </xdr:pic>
    <xdr:clientData/>
  </xdr:one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odule">
  <a:themeElements>
    <a:clrScheme name="Module">
      <a:dk1>
        <a:sysClr val="windowText" lastClr="000000"/>
      </a:dk1>
      <a:lt1>
        <a:sysClr val="window" lastClr="FFFFFF"/>
      </a:lt1>
      <a:dk2>
        <a:srgbClr val="5A6378"/>
      </a:dk2>
      <a:lt2>
        <a:srgbClr val="D4D4D6"/>
      </a:lt2>
      <a:accent1>
        <a:srgbClr val="F0AD00"/>
      </a:accent1>
      <a:accent2>
        <a:srgbClr val="60B5CC"/>
      </a:accent2>
      <a:accent3>
        <a:srgbClr val="E66C7D"/>
      </a:accent3>
      <a:accent4>
        <a:srgbClr val="6BB76D"/>
      </a:accent4>
      <a:accent5>
        <a:srgbClr val="E88651"/>
      </a:accent5>
      <a:accent6>
        <a:srgbClr val="C64847"/>
      </a:accent6>
      <a:hlink>
        <a:srgbClr val="168BBA"/>
      </a:hlink>
      <a:folHlink>
        <a:srgbClr val="680000"/>
      </a:folHlink>
    </a:clrScheme>
    <a:fontScheme name="Module">
      <a:majorFont>
        <a:latin typeface="Aria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  <a:custClrLst>
    <a:custClr name="Hilti Red">
      <a:srgbClr val="D10024"/>
    </a:custClr>
  </a:custClr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42"/>
  <sheetViews>
    <sheetView showGridLines="0" tabSelected="1" view="pageLayout" zoomScaleNormal="100" zoomScaleSheetLayoutView="130" workbookViewId="0">
      <selection activeCell="A3" sqref="A3:B3"/>
    </sheetView>
  </sheetViews>
  <sheetFormatPr defaultColWidth="0" defaultRowHeight="12.75" x14ac:dyDescent="0.2"/>
  <cols>
    <col min="1" max="1" width="2.7109375" style="59" customWidth="1"/>
    <col min="2" max="2" width="35.7109375" style="59" customWidth="1"/>
    <col min="3" max="3" width="24.28515625" style="59" bestFit="1" customWidth="1"/>
    <col min="4" max="4" width="15" style="59" customWidth="1"/>
    <col min="5" max="5" width="11.42578125" style="59" customWidth="1"/>
    <col min="6" max="6" width="2.7109375" style="59" customWidth="1"/>
    <col min="7" max="7" width="2.7109375" style="59" hidden="1" customWidth="1"/>
    <col min="8" max="8" width="8.5703125" style="59" hidden="1" customWidth="1"/>
    <col min="9" max="14" width="6.140625" style="59" hidden="1" customWidth="1"/>
    <col min="15" max="20" width="7.140625" style="59" hidden="1" customWidth="1"/>
    <col min="21" max="16384" width="2.7109375" style="59" hidden="1"/>
  </cols>
  <sheetData>
    <row r="1" spans="1:9" ht="3.75" customHeight="1" thickBot="1" x14ac:dyDescent="0.25"/>
    <row r="2" spans="1:9" ht="12.75" customHeight="1" x14ac:dyDescent="0.2">
      <c r="A2" s="76" t="s">
        <v>39</v>
      </c>
      <c r="B2" s="76"/>
      <c r="C2" s="76" t="s">
        <v>40</v>
      </c>
      <c r="D2" s="76"/>
      <c r="E2" s="77" t="s">
        <v>0</v>
      </c>
      <c r="F2" s="77"/>
    </row>
    <row r="3" spans="1:9" ht="12.75" customHeight="1" x14ac:dyDescent="0.2">
      <c r="A3" s="78" t="s">
        <v>41</v>
      </c>
      <c r="B3" s="78"/>
      <c r="C3" s="96" t="s">
        <v>44</v>
      </c>
      <c r="D3" s="96"/>
      <c r="E3" s="79"/>
      <c r="F3" s="79"/>
      <c r="I3" s="64"/>
    </row>
    <row r="4" spans="1:9" ht="13.5" customHeight="1" thickBot="1" x14ac:dyDescent="0.25">
      <c r="A4" s="81" t="s">
        <v>42</v>
      </c>
      <c r="B4" s="81"/>
      <c r="C4" s="81" t="s">
        <v>43</v>
      </c>
      <c r="D4" s="81"/>
      <c r="E4" s="80"/>
      <c r="F4" s="80"/>
      <c r="I4" s="64"/>
    </row>
    <row r="5" spans="1:9" x14ac:dyDescent="0.2">
      <c r="A5" s="82" t="s">
        <v>1</v>
      </c>
      <c r="B5" s="82"/>
      <c r="C5" s="82"/>
      <c r="D5" s="82"/>
      <c r="E5" s="83" t="s">
        <v>2</v>
      </c>
      <c r="F5" s="83"/>
      <c r="I5" s="64"/>
    </row>
    <row r="6" spans="1:9" ht="13.5" thickBot="1" x14ac:dyDescent="0.25">
      <c r="A6" s="84" t="s">
        <v>45</v>
      </c>
      <c r="B6" s="84"/>
      <c r="C6" s="84"/>
      <c r="D6" s="84"/>
      <c r="E6" s="85"/>
      <c r="F6" s="85"/>
      <c r="I6" s="64"/>
    </row>
    <row r="7" spans="1:9" x14ac:dyDescent="0.2">
      <c r="A7" s="86" t="s">
        <v>3</v>
      </c>
      <c r="B7" s="86"/>
      <c r="C7" s="86"/>
      <c r="D7" s="86"/>
      <c r="I7" s="64"/>
    </row>
    <row r="8" spans="1:9" ht="12.75" customHeight="1" x14ac:dyDescent="0.2">
      <c r="A8" s="75"/>
      <c r="B8" s="75"/>
      <c r="C8" s="75"/>
      <c r="D8" s="75"/>
      <c r="I8" s="64"/>
    </row>
    <row r="9" spans="1:9" ht="12.75" customHeight="1" x14ac:dyDescent="0.2">
      <c r="I9" s="64"/>
    </row>
    <row r="10" spans="1:9" ht="12.75" customHeight="1" x14ac:dyDescent="0.2">
      <c r="B10" s="47" t="s">
        <v>49</v>
      </c>
      <c r="C10" s="48"/>
      <c r="D10" s="48"/>
      <c r="E10" s="48"/>
      <c r="I10" s="64"/>
    </row>
    <row r="11" spans="1:9" ht="12.75" customHeight="1" x14ac:dyDescent="0.2">
      <c r="A11" s="41"/>
      <c r="B11" s="95"/>
      <c r="C11" s="95"/>
      <c r="D11" s="95"/>
      <c r="E11" s="95"/>
      <c r="F11" s="41"/>
      <c r="I11" s="64"/>
    </row>
    <row r="12" spans="1:9" ht="30" customHeight="1" x14ac:dyDescent="0.2">
      <c r="A12" s="41"/>
      <c r="B12" s="41"/>
      <c r="C12" s="41"/>
      <c r="D12" s="41"/>
      <c r="E12" s="41"/>
      <c r="F12" s="41"/>
      <c r="I12" s="64"/>
    </row>
    <row r="13" spans="1:9" ht="18" x14ac:dyDescent="0.25">
      <c r="A13" s="94" t="s">
        <v>38</v>
      </c>
      <c r="B13" s="94"/>
      <c r="C13" s="94"/>
      <c r="D13" s="94"/>
      <c r="E13" s="94"/>
      <c r="F13" s="94"/>
      <c r="I13" s="64"/>
    </row>
    <row r="14" spans="1:9" ht="15" x14ac:dyDescent="0.2">
      <c r="A14" s="41"/>
      <c r="B14" s="41"/>
      <c r="C14" s="41"/>
      <c r="D14" s="41"/>
      <c r="E14" s="41"/>
      <c r="F14" s="41"/>
    </row>
    <row r="15" spans="1:9" ht="30" customHeight="1" x14ac:dyDescent="0.2">
      <c r="A15" s="41"/>
      <c r="B15" s="97" t="s">
        <v>50</v>
      </c>
      <c r="C15" s="97"/>
      <c r="D15" s="97"/>
      <c r="E15" s="97"/>
      <c r="F15" s="41"/>
    </row>
    <row r="16" spans="1:9" ht="15" x14ac:dyDescent="0.2">
      <c r="A16" s="41"/>
      <c r="B16" s="41"/>
      <c r="C16" s="41"/>
      <c r="D16" s="41"/>
      <c r="E16" s="41"/>
      <c r="F16" s="41"/>
    </row>
    <row r="17" spans="1:28" ht="15" x14ac:dyDescent="0.2">
      <c r="A17" s="41"/>
      <c r="B17" s="87" t="s">
        <v>37</v>
      </c>
      <c r="C17" s="87"/>
      <c r="D17" s="87"/>
      <c r="E17" s="87"/>
      <c r="F17" s="41"/>
    </row>
    <row r="18" spans="1:28" ht="15" x14ac:dyDescent="0.2">
      <c r="A18" s="41"/>
      <c r="B18" s="41"/>
      <c r="C18" s="41"/>
      <c r="D18" s="41"/>
      <c r="E18" s="41"/>
      <c r="F18" s="41"/>
    </row>
    <row r="19" spans="1:28" ht="15" x14ac:dyDescent="0.2">
      <c r="A19" s="41"/>
      <c r="B19" s="56" t="s">
        <v>36</v>
      </c>
      <c r="C19" s="70"/>
      <c r="D19" s="50"/>
      <c r="E19" s="41"/>
      <c r="F19" s="41"/>
    </row>
    <row r="20" spans="1:28" s="60" customFormat="1" ht="15" x14ac:dyDescent="0.2">
      <c r="A20" s="41"/>
      <c r="B20" s="56" t="s">
        <v>35</v>
      </c>
      <c r="C20" s="49"/>
      <c r="D20" s="71">
        <v>500</v>
      </c>
      <c r="E20" s="41"/>
      <c r="F20" s="41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</row>
    <row r="21" spans="1:28" ht="15" x14ac:dyDescent="0.2">
      <c r="A21" s="41"/>
      <c r="B21" s="56" t="s">
        <v>34</v>
      </c>
      <c r="C21" s="51"/>
      <c r="F21" s="41"/>
    </row>
    <row r="22" spans="1:28" ht="15.75" thickBot="1" x14ac:dyDescent="0.25">
      <c r="A22" s="41"/>
      <c r="B22" s="56" t="s">
        <v>33</v>
      </c>
      <c r="C22" s="52"/>
      <c r="D22" s="42"/>
      <c r="E22" s="65"/>
      <c r="F22" s="41"/>
      <c r="H22" s="59" t="str">
        <f>CONCATENATE("_",SUBSTITUTE(TEXT(C22,"0,????"),",",".",1))</f>
        <v xml:space="preserve">_0.    </v>
      </c>
      <c r="I22" s="69">
        <v>0.25</v>
      </c>
      <c r="J22" s="69">
        <v>0.375</v>
      </c>
      <c r="K22" s="69">
        <v>0.5</v>
      </c>
      <c r="L22" s="69">
        <v>0.625</v>
      </c>
      <c r="M22" s="69">
        <v>0.75</v>
      </c>
      <c r="N22" s="69">
        <v>0.875</v>
      </c>
      <c r="O22" s="69">
        <v>1</v>
      </c>
      <c r="P22" s="69">
        <v>1.125</v>
      </c>
      <c r="Q22" s="69">
        <v>1.25</v>
      </c>
      <c r="R22" s="69">
        <v>1.375</v>
      </c>
      <c r="S22" s="69">
        <v>1.5</v>
      </c>
      <c r="T22" s="64"/>
    </row>
    <row r="23" spans="1:28" ht="15" x14ac:dyDescent="0.2">
      <c r="A23" s="41"/>
      <c r="B23" s="56" t="s">
        <v>32</v>
      </c>
      <c r="C23" s="52" t="str">
        <f>IF(C22="","",D23)</f>
        <v/>
      </c>
      <c r="D23" s="63">
        <f>IFERROR(VLOOKUP($C$22,Matriz_perforaciones,IF($C$20=Referencias!$C$4,IF($C$21=Referencias!$C$5,2,3), IF($C$20=Referencias!$E$4,IF($C$21=Referencias!$E$5,4,5), IF($C$20=Referencias!$G$4,IF($C$21=Referencias!$G$5,6,7), 0))),FALSE),0)</f>
        <v>0</v>
      </c>
      <c r="E23" s="41"/>
      <c r="F23" s="41"/>
      <c r="H23" s="64"/>
      <c r="I23" s="67">
        <v>0.3125</v>
      </c>
      <c r="J23" s="67">
        <v>0.4375</v>
      </c>
      <c r="K23" s="67">
        <v>0.5625</v>
      </c>
      <c r="L23" s="68">
        <v>0.75</v>
      </c>
      <c r="M23" s="68">
        <v>0.875</v>
      </c>
      <c r="N23" s="68">
        <v>1</v>
      </c>
      <c r="O23" s="68">
        <v>1.125</v>
      </c>
      <c r="P23" s="68">
        <v>1.25</v>
      </c>
      <c r="Q23" s="68">
        <v>1.375</v>
      </c>
      <c r="R23" s="68">
        <v>1.5</v>
      </c>
      <c r="S23" s="68">
        <v>1.625</v>
      </c>
      <c r="T23" s="64"/>
    </row>
    <row r="24" spans="1:28" ht="15" x14ac:dyDescent="0.2">
      <c r="A24" s="41"/>
      <c r="B24" s="56" t="s">
        <v>31</v>
      </c>
      <c r="C24" s="54" t="str">
        <f>IF(C22="","",IFERROR(VLOOKUP($C$22,Matriz_empotramientos,IF($C$20=Referencias!W4,2,IF($C$20=Referencias!X4,3,IF($C$20=Referencias!Y4,4,0))),FALSE),0))</f>
        <v/>
      </c>
      <c r="D24" s="53"/>
      <c r="E24" s="41"/>
      <c r="F24" s="41"/>
      <c r="I24" s="66">
        <v>0.375</v>
      </c>
      <c r="J24" s="66">
        <v>0.5</v>
      </c>
      <c r="K24" s="66">
        <v>0.625</v>
      </c>
      <c r="L24" s="66"/>
      <c r="M24" s="66"/>
      <c r="N24" s="66"/>
      <c r="O24" s="66">
        <v>1.25</v>
      </c>
      <c r="P24" s="66">
        <v>1.375</v>
      </c>
      <c r="Q24" s="66">
        <v>1.5</v>
      </c>
      <c r="R24" s="66">
        <v>1.625</v>
      </c>
      <c r="S24" s="66">
        <v>1.75</v>
      </c>
      <c r="T24" s="64"/>
    </row>
    <row r="25" spans="1:28" ht="15" x14ac:dyDescent="0.2">
      <c r="A25" s="41"/>
      <c r="B25" s="56" t="s">
        <v>30</v>
      </c>
      <c r="C25" s="55"/>
      <c r="D25" s="48"/>
      <c r="E25" s="41"/>
      <c r="F25" s="41"/>
    </row>
    <row r="26" spans="1:28" ht="30" customHeight="1" x14ac:dyDescent="0.2">
      <c r="A26" s="41"/>
      <c r="B26" s="43"/>
      <c r="C26" s="44"/>
      <c r="D26" s="41"/>
      <c r="E26" s="41"/>
      <c r="F26" s="41"/>
    </row>
    <row r="27" spans="1:28" ht="18" x14ac:dyDescent="0.25">
      <c r="A27" s="94" t="s">
        <v>29</v>
      </c>
      <c r="B27" s="94"/>
      <c r="C27" s="94"/>
      <c r="D27" s="94"/>
      <c r="E27" s="94"/>
      <c r="F27" s="94"/>
    </row>
    <row r="28" spans="1:28" ht="15" x14ac:dyDescent="0.2">
      <c r="A28" s="45"/>
      <c r="B28" s="45"/>
      <c r="C28" s="45"/>
      <c r="D28" s="45"/>
      <c r="E28" s="45"/>
      <c r="F28" s="45"/>
    </row>
    <row r="29" spans="1:28" ht="15" x14ac:dyDescent="0.2">
      <c r="A29" s="10"/>
      <c r="B29" s="10"/>
      <c r="C29" s="10"/>
      <c r="D29" s="10"/>
      <c r="E29" s="43"/>
      <c r="F29" s="10"/>
    </row>
    <row r="30" spans="1:28" ht="15.75" x14ac:dyDescent="0.2">
      <c r="A30" s="41"/>
      <c r="B30" s="87" t="s">
        <v>28</v>
      </c>
      <c r="C30" s="87"/>
      <c r="D30" s="57" t="str">
        <f>IF($C$20="","-",$C$20)</f>
        <v>-</v>
      </c>
      <c r="E30" s="57"/>
      <c r="F30" s="41"/>
    </row>
    <row r="31" spans="1:28" x14ac:dyDescent="0.2">
      <c r="A31" s="10"/>
      <c r="B31" s="10"/>
      <c r="C31" s="10"/>
      <c r="D31" s="10"/>
      <c r="E31" s="10"/>
      <c r="F31" s="10"/>
    </row>
    <row r="32" spans="1:28" ht="15" x14ac:dyDescent="0.2">
      <c r="A32" s="10"/>
      <c r="B32" s="93" t="s">
        <v>27</v>
      </c>
      <c r="C32" s="93"/>
      <c r="D32" s="58">
        <f>$D$20</f>
        <v>500</v>
      </c>
      <c r="E32" s="43"/>
      <c r="F32" s="10"/>
    </row>
    <row r="33" spans="1:6" ht="15" x14ac:dyDescent="0.2">
      <c r="A33" s="10"/>
      <c r="B33" s="93" t="s">
        <v>26</v>
      </c>
      <c r="C33" s="93"/>
      <c r="D33" s="72" t="str">
        <f>IFERROR(IF(C23&lt;D23,
                           NA(),
                           E33+(    (   (  ( (C23*2.54)^2 )*PI()/4  )*C24   )-(   (  ( (D23*2.54)^2 )*PI()/4  )*C24   )    )     ),
   "")</f>
        <v/>
      </c>
      <c r="E33" s="40">
        <f>IFERROR($C$24*VLOOKUP($C$22,Matriz_consumos,IF($C$20=Referencias!$M$4,IF($C$21=Referencias!$M$5,2,3),IF($C$20=Referencias!O4,IF($C$21=Referencias!$O$5,4,5),IF($C$20=Referencias!Q4,IF($C$21=Referencias!$Q$5,6,7),0))),FALSE),0)</f>
        <v>0</v>
      </c>
      <c r="F33" s="10"/>
    </row>
    <row r="34" spans="1:6" ht="15" x14ac:dyDescent="0.2">
      <c r="A34" s="10"/>
      <c r="B34" s="93" t="s">
        <v>25</v>
      </c>
      <c r="C34" s="93"/>
      <c r="D34" s="73">
        <f>IFERROR(
                      (VLOOKUP(
                                             D32,
                                             Matriz_rendimietos_cartuchos,
                                             HLOOKUP(
                                                                   D30,
                                                                   Matriz_productos_ref,
                                                                   2,
                                                                   FALSE),FALSE)
                       )/(D33*(1+C25)),
  0)</f>
        <v>0</v>
      </c>
      <c r="E34" s="43"/>
      <c r="F34" s="10"/>
    </row>
    <row r="35" spans="1:6" ht="18" x14ac:dyDescent="0.25">
      <c r="A35" s="10"/>
      <c r="B35" s="93" t="s">
        <v>24</v>
      </c>
      <c r="C35" s="93"/>
      <c r="D35" s="62">
        <f>IFERROR(ROUNDUP($C$19/D34,0),0)</f>
        <v>0</v>
      </c>
      <c r="E35" s="43"/>
      <c r="F35" s="10"/>
    </row>
    <row r="36" spans="1:6" ht="15" x14ac:dyDescent="0.2">
      <c r="A36" s="10"/>
      <c r="B36" s="93"/>
      <c r="C36" s="93"/>
      <c r="D36" s="46"/>
      <c r="E36" s="43"/>
      <c r="F36" s="10"/>
    </row>
    <row r="37" spans="1:6" x14ac:dyDescent="0.2">
      <c r="A37" s="10"/>
      <c r="B37" s="91"/>
      <c r="C37" s="10"/>
      <c r="D37" s="89"/>
      <c r="E37" s="89"/>
      <c r="F37" s="10"/>
    </row>
    <row r="38" spans="1:6" x14ac:dyDescent="0.2">
      <c r="A38" s="10"/>
      <c r="B38" s="91"/>
      <c r="C38" s="10"/>
      <c r="D38" s="89"/>
      <c r="E38" s="89"/>
      <c r="F38" s="10"/>
    </row>
    <row r="39" spans="1:6" ht="13.5" thickBot="1" x14ac:dyDescent="0.25">
      <c r="A39" s="10"/>
      <c r="B39" s="92"/>
      <c r="C39" s="10"/>
      <c r="D39" s="90"/>
      <c r="E39" s="90"/>
      <c r="F39" s="10"/>
    </row>
    <row r="40" spans="1:6" x14ac:dyDescent="0.2">
      <c r="A40" s="10"/>
      <c r="B40" s="61" t="s">
        <v>23</v>
      </c>
      <c r="C40" s="10"/>
      <c r="D40" s="88" t="s">
        <v>47</v>
      </c>
      <c r="E40" s="88"/>
      <c r="F40" s="10"/>
    </row>
    <row r="41" spans="1:6" ht="22.5" customHeight="1" x14ac:dyDescent="0.2"/>
    <row r="42" spans="1:6" ht="48.75" customHeight="1" x14ac:dyDescent="0.2">
      <c r="A42" s="10"/>
      <c r="B42" s="74" t="s">
        <v>46</v>
      </c>
      <c r="C42" s="74"/>
      <c r="D42" s="74"/>
      <c r="E42" s="74"/>
      <c r="F42" s="10"/>
    </row>
  </sheetData>
  <sheetProtection algorithmName="SHA-512" hashValue="0hvVP6fNjwVmXbj1A8ODBxVw5ahY3Ide1Ld5t0De8ns9xgnwc5lf2Zdrfr6OFckpCj4P/WuztXLjK287jMFKrg==" saltValue="DDiSXOg5uF1la083CIXENw==" spinCount="100000" sheet="1" objects="1" scenarios="1" selectLockedCells="1"/>
  <mergeCells count="29">
    <mergeCell ref="A27:F27"/>
    <mergeCell ref="B30:C30"/>
    <mergeCell ref="B11:E11"/>
    <mergeCell ref="C2:D2"/>
    <mergeCell ref="C3:D3"/>
    <mergeCell ref="C4:D4"/>
    <mergeCell ref="B15:E15"/>
    <mergeCell ref="A13:F13"/>
    <mergeCell ref="B36:C36"/>
    <mergeCell ref="B33:C33"/>
    <mergeCell ref="B34:C34"/>
    <mergeCell ref="B32:C32"/>
    <mergeCell ref="B35:C35"/>
    <mergeCell ref="B42:E42"/>
    <mergeCell ref="A8:D8"/>
    <mergeCell ref="A2:B2"/>
    <mergeCell ref="E2:F2"/>
    <mergeCell ref="A3:B3"/>
    <mergeCell ref="E3:F4"/>
    <mergeCell ref="A4:B4"/>
    <mergeCell ref="A5:D5"/>
    <mergeCell ref="E5:F5"/>
    <mergeCell ref="A6:D6"/>
    <mergeCell ref="E6:F6"/>
    <mergeCell ref="A7:D7"/>
    <mergeCell ref="B17:E17"/>
    <mergeCell ref="D40:E40"/>
    <mergeCell ref="D37:E39"/>
    <mergeCell ref="B37:B39"/>
  </mergeCells>
  <conditionalFormatting sqref="D32">
    <cfRule type="expression" dxfId="3" priority="9">
      <formula>$E$22="inglés"</formula>
    </cfRule>
  </conditionalFormatting>
  <conditionalFormatting sqref="B11 C19 C20 D20 C21 C22 C23 C24 C25">
    <cfRule type="containsBlanks" dxfId="2" priority="4">
      <formula>LEN(TRIM(B11))=0</formula>
    </cfRule>
  </conditionalFormatting>
  <conditionalFormatting sqref="D20">
    <cfRule type="expression" dxfId="1" priority="2">
      <formula>$C$20=""</formula>
    </cfRule>
  </conditionalFormatting>
  <conditionalFormatting sqref="C22:C23">
    <cfRule type="expression" dxfId="0" priority="1">
      <formula>C22=TRUNC(C22,0)</formula>
    </cfRule>
  </conditionalFormatting>
  <dataValidations count="5">
    <dataValidation type="list" allowBlank="1" showErrorMessage="1" errorTitle="Error de selección" error="Por favor seleccione una presentación válida para el producto." sqref="D20">
      <formula1>"330,500,1400"</formula1>
    </dataValidation>
    <dataValidation type="list" allowBlank="1" showErrorMessage="1" errorTitle="Error de selección" error="Por favor seleccione una opción válida" sqref="C21">
      <formula1>"Varilla corrugada,Varilla roscada "</formula1>
    </dataValidation>
    <dataValidation type="list" allowBlank="1" showErrorMessage="1" sqref="E22">
      <formula1>"métrico,inglés"</formula1>
    </dataValidation>
    <dataValidation type="list" allowBlank="1" sqref="C23">
      <formula1>OFFSET(INDIRECT(H22,TRUE),0,0,COUNT(INDIRECT(H22,TRUE)),1)</formula1>
    </dataValidation>
    <dataValidation type="date" operator="greaterThan" allowBlank="1" showInputMessage="1" showErrorMessage="1" sqref="E3:F4">
      <formula1>36892</formula1>
    </dataValidation>
  </dataValidations>
  <pageMargins left="0.70866141732283472" right="0.70866141732283472" top="0.94488188976377963" bottom="0.74803149606299213" header="0.51181102362204722" footer="0.31496062992125984"/>
  <pageSetup orientation="portrait" horizontalDpi="300" verticalDpi="300" r:id="rId1"/>
  <headerFooter>
    <oddHeader>&amp;R&amp;G</oddHeader>
  </headerFooter>
  <legacyDrawingHF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39B2EE4F-084C-4133-9DC4-D6C9EEA5BD73}">
            <x14:iconSet iconSet="3Symbols2" custom="1">
              <x14:cfvo type="percent">
                <xm:f>0</xm:f>
              </x14:cfvo>
              <x14:cfvo type="formula">
                <xm:f>$C$22+(1/16)</xm:f>
              </x14:cfvo>
              <x14:cfvo type="formula" gte="0">
                <xm:f>$C$22+(1/8)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C23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Referencias!$B$6:$B$16</xm:f>
          </x14:formula1>
          <xm:sqref>C22</xm:sqref>
        </x14:dataValidation>
        <x14:dataValidation type="list" allowBlank="1" showErrorMessage="1" errorTitle="Error de selección" error="Por favor seleccione solo uno de los productos Hilti indicados">
          <x14:formula1>
            <xm:f>Referencias!$AD$4:$AF$4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69"/>
  <sheetViews>
    <sheetView showGridLines="0" topLeftCell="AA1" zoomScaleNormal="100" workbookViewId="0">
      <selection activeCell="AC4" sqref="AC4"/>
    </sheetView>
  </sheetViews>
  <sheetFormatPr defaultColWidth="10.85546875" defaultRowHeight="12.75" x14ac:dyDescent="0.2"/>
  <cols>
    <col min="1" max="1" width="2.7109375" style="1" customWidth="1"/>
    <col min="2" max="2" width="9.42578125" style="1" bestFit="1" customWidth="1"/>
    <col min="3" max="3" width="10.42578125" style="1" bestFit="1" customWidth="1"/>
    <col min="4" max="4" width="14" style="1" bestFit="1" customWidth="1"/>
    <col min="5" max="5" width="10.42578125" style="1" bestFit="1" customWidth="1"/>
    <col min="6" max="6" width="14" style="1" bestFit="1" customWidth="1"/>
    <col min="7" max="7" width="10.42578125" style="1" bestFit="1" customWidth="1"/>
    <col min="8" max="8" width="14" style="1" bestFit="1" customWidth="1"/>
    <col min="9" max="9" width="2.7109375" style="1" customWidth="1"/>
    <col min="10" max="10" width="3.7109375" style="1" customWidth="1"/>
    <col min="11" max="11" width="2.7109375" style="1" customWidth="1"/>
    <col min="12" max="12" width="9.42578125" style="1" bestFit="1" customWidth="1"/>
    <col min="13" max="18" width="18.7109375" style="1" customWidth="1"/>
    <col min="19" max="19" width="2.7109375" style="1" customWidth="1"/>
    <col min="20" max="20" width="3.7109375" style="1" customWidth="1"/>
    <col min="21" max="21" width="2.7109375" style="1" customWidth="1"/>
    <col min="22" max="22" width="9.42578125" style="1" bestFit="1" customWidth="1"/>
    <col min="23" max="23" width="26.140625" style="1" bestFit="1" customWidth="1"/>
    <col min="24" max="25" width="26.140625" style="1" customWidth="1"/>
    <col min="26" max="26" width="2.7109375" style="1" customWidth="1"/>
    <col min="27" max="27" width="3.7109375" style="1" customWidth="1"/>
    <col min="28" max="28" width="2.7109375" style="2" customWidth="1"/>
    <col min="29" max="29" width="11.7109375" style="2" bestFit="1" customWidth="1"/>
    <col min="30" max="32" width="20" style="2" customWidth="1"/>
    <col min="33" max="33" width="2.7109375" style="2" customWidth="1"/>
    <col min="34" max="16384" width="10.85546875" style="1"/>
  </cols>
  <sheetData>
    <row r="1" spans="1:33" ht="13.5" thickBot="1" x14ac:dyDescent="0.25"/>
    <row r="2" spans="1:33" ht="13.5" thickBot="1" x14ac:dyDescent="0.25">
      <c r="A2" s="101" t="s">
        <v>22</v>
      </c>
      <c r="B2" s="102"/>
      <c r="C2" s="102"/>
      <c r="D2" s="102"/>
      <c r="E2" s="102"/>
      <c r="F2" s="102"/>
      <c r="G2" s="102"/>
      <c r="H2" s="102"/>
      <c r="I2" s="103"/>
      <c r="K2" s="101" t="s">
        <v>21</v>
      </c>
      <c r="L2" s="102"/>
      <c r="M2" s="102"/>
      <c r="N2" s="102"/>
      <c r="O2" s="102"/>
      <c r="P2" s="102"/>
      <c r="Q2" s="102"/>
      <c r="R2" s="102"/>
      <c r="S2" s="103"/>
      <c r="U2" s="101" t="s">
        <v>20</v>
      </c>
      <c r="V2" s="102"/>
      <c r="W2" s="102"/>
      <c r="X2" s="102"/>
      <c r="Y2" s="102"/>
      <c r="Z2" s="103"/>
      <c r="AB2" s="98" t="s">
        <v>19</v>
      </c>
      <c r="AC2" s="99"/>
      <c r="AD2" s="99"/>
      <c r="AE2" s="99"/>
      <c r="AF2" s="99"/>
      <c r="AG2" s="100"/>
    </row>
    <row r="3" spans="1:33" x14ac:dyDescent="0.2">
      <c r="A3" s="16"/>
      <c r="B3" s="15"/>
      <c r="C3" s="15"/>
      <c r="D3" s="15"/>
      <c r="E3" s="15"/>
      <c r="F3" s="15"/>
      <c r="G3" s="15"/>
      <c r="H3" s="15"/>
      <c r="I3" s="14"/>
      <c r="K3" s="16"/>
      <c r="L3" s="15"/>
      <c r="M3" s="15"/>
      <c r="N3" s="15"/>
      <c r="O3" s="15"/>
      <c r="P3" s="15"/>
      <c r="Q3" s="15"/>
      <c r="R3" s="15"/>
      <c r="S3" s="14"/>
      <c r="U3" s="16"/>
      <c r="V3" s="15"/>
      <c r="W3" s="15"/>
      <c r="X3" s="15"/>
      <c r="Y3" s="15"/>
      <c r="Z3" s="14"/>
      <c r="AB3" s="9"/>
      <c r="AC3" s="39"/>
      <c r="AD3" s="8"/>
      <c r="AE3" s="8"/>
      <c r="AF3" s="8"/>
      <c r="AG3" s="7"/>
    </row>
    <row r="4" spans="1:33" ht="14.25" x14ac:dyDescent="0.2">
      <c r="A4" s="16"/>
      <c r="B4" s="15"/>
      <c r="C4" s="104" t="s">
        <v>18</v>
      </c>
      <c r="D4" s="104"/>
      <c r="E4" s="104" t="s">
        <v>17</v>
      </c>
      <c r="F4" s="104"/>
      <c r="G4" s="104" t="s">
        <v>14</v>
      </c>
      <c r="H4" s="104"/>
      <c r="I4" s="14"/>
      <c r="J4" s="29"/>
      <c r="K4" s="32"/>
      <c r="L4" s="38" t="s">
        <v>16</v>
      </c>
      <c r="M4" s="104" t="str">
        <f>C4</f>
        <v>HIT-RE 500 SD</v>
      </c>
      <c r="N4" s="104"/>
      <c r="O4" s="104" t="str">
        <f>E4</f>
        <v>HIT-HY 200 R</v>
      </c>
      <c r="P4" s="104"/>
      <c r="Q4" s="108" t="str">
        <f>G4</f>
        <v>HIT-MM PLUS</v>
      </c>
      <c r="R4" s="110"/>
      <c r="S4" s="14"/>
      <c r="T4" s="29"/>
      <c r="U4" s="32"/>
      <c r="V4" s="38" t="s">
        <v>16</v>
      </c>
      <c r="W4" s="37" t="str">
        <f>C4</f>
        <v>HIT-RE 500 SD</v>
      </c>
      <c r="X4" s="37" t="str">
        <f>E4</f>
        <v>HIT-HY 200 R</v>
      </c>
      <c r="Y4" s="37" t="str">
        <f>G4</f>
        <v>HIT-MM PLUS</v>
      </c>
      <c r="Z4" s="14"/>
      <c r="AA4" s="29"/>
      <c r="AB4" s="28"/>
      <c r="AC4" s="36"/>
      <c r="AD4" s="35" t="str">
        <f>C4</f>
        <v>HIT-RE 500 SD</v>
      </c>
      <c r="AE4" s="35" t="str">
        <f>E4</f>
        <v>HIT-HY 200 R</v>
      </c>
      <c r="AF4" s="35" t="str">
        <f>G4</f>
        <v>HIT-MM PLUS</v>
      </c>
      <c r="AG4" s="7"/>
    </row>
    <row r="5" spans="1:33" ht="14.25" x14ac:dyDescent="0.2">
      <c r="A5" s="16"/>
      <c r="B5" s="31" t="s">
        <v>15</v>
      </c>
      <c r="C5" s="34" t="s">
        <v>48</v>
      </c>
      <c r="D5" s="33" t="s">
        <v>12</v>
      </c>
      <c r="E5" s="34" t="s">
        <v>48</v>
      </c>
      <c r="F5" s="33" t="s">
        <v>12</v>
      </c>
      <c r="G5" s="34" t="s">
        <v>48</v>
      </c>
      <c r="H5" s="33" t="s">
        <v>12</v>
      </c>
      <c r="I5" s="14"/>
      <c r="J5" s="29"/>
      <c r="K5" s="32"/>
      <c r="L5" s="31" t="s">
        <v>15</v>
      </c>
      <c r="M5" s="34" t="s">
        <v>48</v>
      </c>
      <c r="N5" s="33" t="s">
        <v>12</v>
      </c>
      <c r="O5" s="34" t="s">
        <v>48</v>
      </c>
      <c r="P5" s="33" t="s">
        <v>12</v>
      </c>
      <c r="Q5" s="34" t="s">
        <v>48</v>
      </c>
      <c r="R5" s="33" t="s">
        <v>12</v>
      </c>
      <c r="S5" s="14"/>
      <c r="T5" s="29"/>
      <c r="U5" s="32"/>
      <c r="V5" s="31" t="s">
        <v>15</v>
      </c>
      <c r="W5" s="30"/>
      <c r="X5" s="30"/>
      <c r="Y5" s="30"/>
      <c r="Z5" s="14"/>
      <c r="AA5" s="29"/>
      <c r="AB5" s="28"/>
      <c r="AC5" s="8">
        <v>1</v>
      </c>
      <c r="AD5" s="8">
        <v>2</v>
      </c>
      <c r="AE5" s="8">
        <v>3</v>
      </c>
      <c r="AF5" s="8">
        <v>4</v>
      </c>
      <c r="AG5" s="7"/>
    </row>
    <row r="6" spans="1:33" ht="15" x14ac:dyDescent="0.2">
      <c r="A6" s="16"/>
      <c r="B6" s="19">
        <v>0.25</v>
      </c>
      <c r="C6" s="19">
        <v>0.375</v>
      </c>
      <c r="D6" s="19">
        <v>0.3125</v>
      </c>
      <c r="E6" s="19">
        <v>0.375</v>
      </c>
      <c r="F6" s="19">
        <v>0.3125</v>
      </c>
      <c r="G6" s="19">
        <v>0.375</v>
      </c>
      <c r="H6" s="19">
        <v>0.3125</v>
      </c>
      <c r="I6" s="14"/>
      <c r="K6" s="16"/>
      <c r="L6" s="19">
        <v>0.25</v>
      </c>
      <c r="M6" s="26">
        <v>0.51749999999999996</v>
      </c>
      <c r="N6" s="27">
        <f>+(0.055*(2.54^3))/(2.54)</f>
        <v>0.35483799999999999</v>
      </c>
      <c r="O6" s="26">
        <f>M6</f>
        <v>0.51749999999999996</v>
      </c>
      <c r="P6" s="27">
        <f>+(0.055*(2.54^3))/(2.54)</f>
        <v>0.35483799999999999</v>
      </c>
      <c r="Q6" s="26">
        <f>M6</f>
        <v>0.51749999999999996</v>
      </c>
      <c r="R6" s="26">
        <f>+(0.055*(2.54^3))/(2.54)</f>
        <v>0.35483799999999999</v>
      </c>
      <c r="S6" s="14"/>
      <c r="U6" s="16"/>
      <c r="V6" s="19">
        <v>0.25</v>
      </c>
      <c r="W6" s="25">
        <f t="shared" ref="W6:W16" si="0">9*B6*2.54</f>
        <v>5.7149999999999999</v>
      </c>
      <c r="X6" s="25">
        <f t="shared" ref="X6:X16" si="1">9*B6*2.54</f>
        <v>5.7149999999999999</v>
      </c>
      <c r="Y6" s="25">
        <f t="shared" ref="Y6:Y16" si="2">9*B6*2.54</f>
        <v>5.7149999999999999</v>
      </c>
      <c r="Z6" s="14"/>
      <c r="AB6" s="9"/>
      <c r="AC6" s="21">
        <v>330</v>
      </c>
      <c r="AD6" s="20">
        <v>330</v>
      </c>
      <c r="AE6" s="20">
        <v>330</v>
      </c>
      <c r="AF6" s="20">
        <v>330</v>
      </c>
      <c r="AG6" s="7"/>
    </row>
    <row r="7" spans="1:33" ht="15" x14ac:dyDescent="0.2">
      <c r="A7" s="16"/>
      <c r="B7" s="19">
        <v>0.375</v>
      </c>
      <c r="C7" s="19">
        <v>0.5</v>
      </c>
      <c r="D7" s="19">
        <v>0.4375</v>
      </c>
      <c r="E7" s="19">
        <v>0.5</v>
      </c>
      <c r="F7" s="19">
        <v>0.4375</v>
      </c>
      <c r="G7" s="19">
        <v>0.5</v>
      </c>
      <c r="H7" s="19">
        <v>0.4375</v>
      </c>
      <c r="I7" s="14"/>
      <c r="K7" s="16"/>
      <c r="L7" s="19">
        <v>0.375</v>
      </c>
      <c r="M7" s="27">
        <f>+(0.11*(2.54^3))/(2.54)</f>
        <v>0.70967599999999997</v>
      </c>
      <c r="N7" s="27">
        <f>+(0.095*(2.54^3))/(2.54)</f>
        <v>0.61290199999999995</v>
      </c>
      <c r="O7" s="27">
        <f>+(0.11*(2.54^3))/(2.54)</f>
        <v>0.70967599999999997</v>
      </c>
      <c r="P7" s="27">
        <f>+(0.095*(2.54^3))/(2.54)</f>
        <v>0.61290199999999995</v>
      </c>
      <c r="Q7" s="26">
        <f>+(0.11*(2.54^3))/(2.54)</f>
        <v>0.70967599999999997</v>
      </c>
      <c r="R7" s="26">
        <f>+(0.095*(2.54^3))/(2.54)</f>
        <v>0.61290199999999995</v>
      </c>
      <c r="S7" s="14"/>
      <c r="U7" s="16"/>
      <c r="V7" s="19">
        <v>0.375</v>
      </c>
      <c r="W7" s="25">
        <f t="shared" si="0"/>
        <v>8.5724999999999998</v>
      </c>
      <c r="X7" s="25">
        <f t="shared" si="1"/>
        <v>8.5724999999999998</v>
      </c>
      <c r="Y7" s="25">
        <f t="shared" si="2"/>
        <v>8.5724999999999998</v>
      </c>
      <c r="Z7" s="14"/>
      <c r="AB7" s="9"/>
      <c r="AC7" s="21">
        <v>500</v>
      </c>
      <c r="AD7" s="20">
        <v>500</v>
      </c>
      <c r="AE7" s="20">
        <v>500</v>
      </c>
      <c r="AF7" s="20">
        <v>500</v>
      </c>
      <c r="AG7" s="7"/>
    </row>
    <row r="8" spans="1:33" ht="15" x14ac:dyDescent="0.2">
      <c r="A8" s="16"/>
      <c r="B8" s="19">
        <v>0.5</v>
      </c>
      <c r="C8" s="19">
        <v>0.625</v>
      </c>
      <c r="D8" s="19">
        <v>0.5625</v>
      </c>
      <c r="E8" s="19">
        <v>0.625</v>
      </c>
      <c r="F8" s="19">
        <v>0.5625</v>
      </c>
      <c r="G8" s="19">
        <v>0.625</v>
      </c>
      <c r="H8" s="19">
        <v>0.5625</v>
      </c>
      <c r="I8" s="14"/>
      <c r="K8" s="16"/>
      <c r="L8" s="19">
        <v>0.5</v>
      </c>
      <c r="M8" s="27">
        <f>+(0.146*(2.54^3))/(2.54)</f>
        <v>0.94193359999999993</v>
      </c>
      <c r="N8" s="27">
        <f>+(0.133*(2.54^3))/(2.54)</f>
        <v>0.8580627999999999</v>
      </c>
      <c r="O8" s="27">
        <f>+(0.146*(2.54^3))/(2.54)</f>
        <v>0.94193359999999993</v>
      </c>
      <c r="P8" s="27">
        <f>+(0.133*(2.54^3))/(2.54)</f>
        <v>0.8580627999999999</v>
      </c>
      <c r="Q8" s="26">
        <f>+(0.146*(2.54^3))/(2.54)</f>
        <v>0.94193359999999993</v>
      </c>
      <c r="R8" s="26">
        <f>+(0.133*(2.54^3))/(2.54)</f>
        <v>0.8580627999999999</v>
      </c>
      <c r="S8" s="14"/>
      <c r="U8" s="16"/>
      <c r="V8" s="19">
        <v>0.5</v>
      </c>
      <c r="W8" s="25">
        <f t="shared" si="0"/>
        <v>11.43</v>
      </c>
      <c r="X8" s="25">
        <f t="shared" si="1"/>
        <v>11.43</v>
      </c>
      <c r="Y8" s="25">
        <f t="shared" si="2"/>
        <v>11.43</v>
      </c>
      <c r="Z8" s="14"/>
      <c r="AB8" s="9"/>
      <c r="AC8" s="21">
        <v>1400</v>
      </c>
      <c r="AD8" s="20">
        <v>1400</v>
      </c>
      <c r="AE8" s="20">
        <v>1400</v>
      </c>
      <c r="AF8" s="20">
        <v>1400</v>
      </c>
      <c r="AG8" s="7"/>
    </row>
    <row r="9" spans="1:33" ht="15" x14ac:dyDescent="0.2">
      <c r="A9" s="16"/>
      <c r="B9" s="19">
        <v>0.625</v>
      </c>
      <c r="C9" s="19">
        <v>0.75</v>
      </c>
      <c r="D9" s="19">
        <v>0.75</v>
      </c>
      <c r="E9" s="19">
        <v>0.75</v>
      </c>
      <c r="F9" s="19">
        <v>0.75</v>
      </c>
      <c r="G9" s="19">
        <v>0.75</v>
      </c>
      <c r="H9" s="19">
        <v>0.75</v>
      </c>
      <c r="I9" s="14"/>
      <c r="K9" s="16"/>
      <c r="L9" s="19">
        <v>0.625</v>
      </c>
      <c r="M9" s="27">
        <f>+(0.176*(2.54^3))/(2.54)</f>
        <v>1.1354815999999996</v>
      </c>
      <c r="N9" s="27">
        <f>+(0.261*(2.54^3))/(2.54)</f>
        <v>1.6838675999999997</v>
      </c>
      <c r="O9" s="27">
        <f>+(0.176*(2.54^3))/(2.54)</f>
        <v>1.1354815999999996</v>
      </c>
      <c r="P9" s="27">
        <f>+(0.261*(2.54^3))/(2.54)</f>
        <v>1.6838675999999997</v>
      </c>
      <c r="Q9" s="26">
        <f>+(0.176*(2.54^3))/(2.54)</f>
        <v>1.1354815999999996</v>
      </c>
      <c r="R9" s="26">
        <f>+(0.184*(2.54^3))/(2.54)</f>
        <v>1.1870943999999999</v>
      </c>
      <c r="S9" s="14"/>
      <c r="U9" s="16"/>
      <c r="V9" s="19">
        <v>0.625</v>
      </c>
      <c r="W9" s="25">
        <f t="shared" si="0"/>
        <v>14.2875</v>
      </c>
      <c r="X9" s="25">
        <f t="shared" si="1"/>
        <v>14.2875</v>
      </c>
      <c r="Y9" s="25">
        <f t="shared" si="2"/>
        <v>14.2875</v>
      </c>
      <c r="Z9" s="14"/>
      <c r="AB9" s="9"/>
      <c r="AC9" s="22"/>
      <c r="AD9" s="20"/>
      <c r="AE9" s="20"/>
      <c r="AF9" s="20"/>
      <c r="AG9" s="7"/>
    </row>
    <row r="10" spans="1:33" ht="15" x14ac:dyDescent="0.2">
      <c r="A10" s="16"/>
      <c r="B10" s="19">
        <v>0.75</v>
      </c>
      <c r="C10" s="19">
        <v>0.875</v>
      </c>
      <c r="D10" s="19">
        <v>0.875</v>
      </c>
      <c r="E10" s="19">
        <v>0.875</v>
      </c>
      <c r="F10" s="19">
        <v>0.875</v>
      </c>
      <c r="G10" s="19">
        <v>0.875</v>
      </c>
      <c r="H10" s="19">
        <v>0.875</v>
      </c>
      <c r="I10" s="14"/>
      <c r="K10" s="16"/>
      <c r="L10" s="19">
        <v>0.75</v>
      </c>
      <c r="M10" s="27">
        <f>+(0.218*(2.54^3))/(2.54)</f>
        <v>1.4064487999999999</v>
      </c>
      <c r="N10" s="27">
        <f>+(0.326*(2.54^3))/(2.54)</f>
        <v>2.1032215999999999</v>
      </c>
      <c r="O10" s="27">
        <f>+(0.218*(2.54^3))/(2.54)</f>
        <v>1.4064487999999999</v>
      </c>
      <c r="P10" s="27">
        <f>+(0.326*(2.54^3))/(2.54)</f>
        <v>2.1032215999999999</v>
      </c>
      <c r="Q10" s="26">
        <f>+(0.218*(2.54^3))/(2.54)</f>
        <v>1.4064487999999999</v>
      </c>
      <c r="R10" s="26">
        <f>+(0.232*(2.54^3))/(2.54)</f>
        <v>1.4967712</v>
      </c>
      <c r="S10" s="14"/>
      <c r="U10" s="16"/>
      <c r="V10" s="19">
        <v>0.75</v>
      </c>
      <c r="W10" s="25">
        <f t="shared" si="0"/>
        <v>17.145</v>
      </c>
      <c r="X10" s="25">
        <f t="shared" si="1"/>
        <v>17.145</v>
      </c>
      <c r="Y10" s="25">
        <f t="shared" si="2"/>
        <v>17.145</v>
      </c>
      <c r="Z10" s="14"/>
      <c r="AB10" s="9"/>
      <c r="AC10" s="21" t="s">
        <v>5</v>
      </c>
      <c r="AD10" s="20"/>
      <c r="AE10" s="20"/>
      <c r="AF10" s="20"/>
      <c r="AG10" s="7"/>
    </row>
    <row r="11" spans="1:33" ht="15" x14ac:dyDescent="0.2">
      <c r="A11" s="16"/>
      <c r="B11" s="19">
        <v>0.875</v>
      </c>
      <c r="C11" s="19">
        <v>1</v>
      </c>
      <c r="D11" s="19">
        <v>1</v>
      </c>
      <c r="E11" s="19">
        <v>1</v>
      </c>
      <c r="F11" s="19">
        <v>1</v>
      </c>
      <c r="G11" s="19">
        <v>1</v>
      </c>
      <c r="H11" s="19">
        <v>1</v>
      </c>
      <c r="I11" s="14"/>
      <c r="K11" s="16"/>
      <c r="L11" s="19">
        <v>0.875</v>
      </c>
      <c r="M11" s="27">
        <f>+(0.252*(2.54^3))/(2.54)</f>
        <v>1.6258031999999998</v>
      </c>
      <c r="N11" s="27">
        <f>+(0.391*(2.54^3))/(2.54)</f>
        <v>2.5225756000000001</v>
      </c>
      <c r="O11" s="27">
        <f>+(0.252*(2.54^3))/(2.54)</f>
        <v>1.6258031999999998</v>
      </c>
      <c r="P11" s="27">
        <f>+(0.391*(2.54^3))/(2.54)</f>
        <v>2.5225756000000001</v>
      </c>
      <c r="Q11" s="26">
        <f>+(0.252*(2.54^3))/(2.54)</f>
        <v>1.6258031999999998</v>
      </c>
      <c r="R11" s="26">
        <f>+(0.391*(2.54^3))/(2.54)</f>
        <v>2.5225756000000001</v>
      </c>
      <c r="S11" s="14"/>
      <c r="U11" s="16"/>
      <c r="V11" s="19">
        <v>0.875</v>
      </c>
      <c r="W11" s="25">
        <f t="shared" si="0"/>
        <v>20.002500000000001</v>
      </c>
      <c r="X11" s="25">
        <f t="shared" si="1"/>
        <v>20.002500000000001</v>
      </c>
      <c r="Y11" s="25">
        <f t="shared" si="2"/>
        <v>20.002500000000001</v>
      </c>
      <c r="Z11" s="14"/>
      <c r="AB11" s="9"/>
      <c r="AC11" s="8"/>
      <c r="AD11" s="8"/>
      <c r="AE11" s="8"/>
      <c r="AF11" s="8"/>
      <c r="AG11" s="7"/>
    </row>
    <row r="12" spans="1:33" ht="15" x14ac:dyDescent="0.2">
      <c r="A12" s="16"/>
      <c r="B12" s="19">
        <v>1</v>
      </c>
      <c r="C12" s="19">
        <v>1.125</v>
      </c>
      <c r="D12" s="19">
        <v>1.125</v>
      </c>
      <c r="E12" s="19">
        <v>1.125</v>
      </c>
      <c r="F12" s="19">
        <v>1.125</v>
      </c>
      <c r="G12" s="19">
        <v>1.125</v>
      </c>
      <c r="H12" s="19">
        <v>1.125</v>
      </c>
      <c r="I12" s="24"/>
      <c r="K12" s="16"/>
      <c r="L12" s="19">
        <v>1</v>
      </c>
      <c r="M12" s="27">
        <f>+(0.299*(2.54^3))/(2.54)</f>
        <v>1.9290283999999995</v>
      </c>
      <c r="N12" s="27">
        <f>+(0.478*(2.54^3))/(2.54)</f>
        <v>3.0838647999999997</v>
      </c>
      <c r="O12" s="27">
        <f>+(0.299*(2.54^3))/(2.54)</f>
        <v>1.9290283999999995</v>
      </c>
      <c r="P12" s="27">
        <f>+(0.478*(2.54^3))/(2.54)</f>
        <v>3.0838647999999997</v>
      </c>
      <c r="Q12" s="26">
        <f>+(0.299*(2.54^3))/(2.54)</f>
        <v>1.9290283999999995</v>
      </c>
      <c r="R12" s="26">
        <f>+(0.478*(2.54^3))/(2.54)</f>
        <v>3.0838647999999997</v>
      </c>
      <c r="S12" s="24"/>
      <c r="U12" s="16"/>
      <c r="V12" s="19">
        <v>1</v>
      </c>
      <c r="W12" s="25">
        <f t="shared" si="0"/>
        <v>22.86</v>
      </c>
      <c r="X12" s="25">
        <f t="shared" si="1"/>
        <v>22.86</v>
      </c>
      <c r="Y12" s="25">
        <f t="shared" si="2"/>
        <v>22.86</v>
      </c>
      <c r="Z12" s="24"/>
      <c r="AB12" s="9"/>
      <c r="AC12" s="8"/>
      <c r="AD12" s="8"/>
      <c r="AE12" s="8"/>
      <c r="AF12" s="8"/>
      <c r="AG12" s="7"/>
    </row>
    <row r="13" spans="1:33" ht="15" x14ac:dyDescent="0.2">
      <c r="A13" s="16"/>
      <c r="B13" s="19">
        <v>1.125</v>
      </c>
      <c r="C13" s="19">
        <v>1.25</v>
      </c>
      <c r="D13" s="19">
        <v>1.25</v>
      </c>
      <c r="E13" s="19">
        <v>1.25</v>
      </c>
      <c r="F13" s="19">
        <v>1.25</v>
      </c>
      <c r="G13" s="19">
        <v>1.25</v>
      </c>
      <c r="H13" s="19">
        <v>1.25</v>
      </c>
      <c r="I13" s="24"/>
      <c r="K13" s="16"/>
      <c r="L13" s="19">
        <v>1.125</v>
      </c>
      <c r="M13" s="27">
        <f>+(0.601*(2.54^3))/(2.54)</f>
        <v>3.8774115999999998</v>
      </c>
      <c r="N13" s="26">
        <f>+(0.567*(2.54^3))/(2.54)</f>
        <v>3.6580571999999991</v>
      </c>
      <c r="O13" s="27">
        <f>+(0.601*(2.54^3))/(2.54)</f>
        <v>3.8774115999999998</v>
      </c>
      <c r="P13" s="26">
        <f>+(0.568*(2.54^3))/(2.54)</f>
        <v>3.6645087999999988</v>
      </c>
      <c r="Q13" s="26">
        <f>+(0.601*(2.54^3))/(2.54)</f>
        <v>3.8774115999999998</v>
      </c>
      <c r="R13" s="26">
        <f>+(0.569*(2.54^3))/(2.54)</f>
        <v>3.6709603999999998</v>
      </c>
      <c r="S13" s="24"/>
      <c r="U13" s="16"/>
      <c r="V13" s="19">
        <v>1.125</v>
      </c>
      <c r="W13" s="25">
        <f t="shared" si="0"/>
        <v>25.717500000000001</v>
      </c>
      <c r="X13" s="25">
        <f t="shared" si="1"/>
        <v>25.717500000000001</v>
      </c>
      <c r="Y13" s="25">
        <f t="shared" si="2"/>
        <v>25.717500000000001</v>
      </c>
      <c r="Z13" s="24"/>
      <c r="AB13" s="9"/>
      <c r="AC13" s="8"/>
      <c r="AD13" s="8"/>
      <c r="AE13" s="8"/>
      <c r="AF13" s="8"/>
      <c r="AG13" s="7"/>
    </row>
    <row r="14" spans="1:33" ht="15" x14ac:dyDescent="0.2">
      <c r="A14" s="16"/>
      <c r="B14" s="19">
        <v>1.25</v>
      </c>
      <c r="C14" s="19">
        <v>1.375</v>
      </c>
      <c r="D14" s="19">
        <v>1.375</v>
      </c>
      <c r="E14" s="19">
        <v>1.375</v>
      </c>
      <c r="F14" s="19">
        <v>1.375</v>
      </c>
      <c r="G14" s="19">
        <v>1.375</v>
      </c>
      <c r="H14" s="19">
        <v>1.375</v>
      </c>
      <c r="I14" s="24"/>
      <c r="K14" s="16"/>
      <c r="L14" s="19">
        <v>1.25</v>
      </c>
      <c r="M14" s="27">
        <f>+(0.659*(2.54^3))/(2.54)</f>
        <v>4.2516043999999997</v>
      </c>
      <c r="N14" s="27">
        <f>+(0.626*(2.54^3))/(2.54)</f>
        <v>4.0387015999999996</v>
      </c>
      <c r="O14" s="27">
        <f>+(0.659*(2.54^3))/(2.54)</f>
        <v>4.2516043999999997</v>
      </c>
      <c r="P14" s="27">
        <f>+(0.626*(2.54^3))/(2.54)</f>
        <v>4.0387015999999996</v>
      </c>
      <c r="Q14" s="26">
        <f>+(0.659*(2.54^3))/(2.54)</f>
        <v>4.2516043999999997</v>
      </c>
      <c r="R14" s="26">
        <f>+(0.626*(2.54^3))/(2.54)</f>
        <v>4.0387015999999996</v>
      </c>
      <c r="S14" s="24"/>
      <c r="U14" s="16"/>
      <c r="V14" s="19">
        <v>1.25</v>
      </c>
      <c r="W14" s="25">
        <f t="shared" si="0"/>
        <v>28.574999999999999</v>
      </c>
      <c r="X14" s="25">
        <f t="shared" si="1"/>
        <v>28.574999999999999</v>
      </c>
      <c r="Y14" s="25">
        <f t="shared" si="2"/>
        <v>28.574999999999999</v>
      </c>
      <c r="Z14" s="24"/>
      <c r="AB14" s="9"/>
      <c r="AC14" s="8"/>
      <c r="AD14" s="8"/>
      <c r="AE14" s="8"/>
      <c r="AF14" s="8"/>
      <c r="AG14" s="7"/>
    </row>
    <row r="15" spans="1:33" ht="15" x14ac:dyDescent="0.2">
      <c r="A15" s="16"/>
      <c r="B15" s="19">
        <v>1.375</v>
      </c>
      <c r="C15" s="19">
        <v>1.5</v>
      </c>
      <c r="D15" s="19">
        <v>1.5</v>
      </c>
      <c r="E15" s="19">
        <v>1.5</v>
      </c>
      <c r="F15" s="19">
        <v>1.5</v>
      </c>
      <c r="G15" s="19">
        <v>1.5</v>
      </c>
      <c r="H15" s="19">
        <v>1.5</v>
      </c>
      <c r="I15" s="24"/>
      <c r="K15" s="16"/>
      <c r="L15" s="19">
        <v>1.375</v>
      </c>
      <c r="M15" s="27">
        <f>+(1.037*(2.54^3))/(2.54)</f>
        <v>6.6903091999999997</v>
      </c>
      <c r="N15" s="26">
        <v>4.6371000000000002</v>
      </c>
      <c r="O15" s="27">
        <f>M15</f>
        <v>6.6903091999999997</v>
      </c>
      <c r="P15" s="26">
        <f>N15</f>
        <v>4.6371000000000002</v>
      </c>
      <c r="Q15" s="26">
        <f>M15</f>
        <v>6.6903091999999997</v>
      </c>
      <c r="R15" s="26">
        <f>N15</f>
        <v>4.6371000000000002</v>
      </c>
      <c r="S15" s="24"/>
      <c r="U15" s="16"/>
      <c r="V15" s="19">
        <v>1.375</v>
      </c>
      <c r="W15" s="25">
        <f t="shared" si="0"/>
        <v>31.432500000000001</v>
      </c>
      <c r="X15" s="25">
        <f t="shared" si="1"/>
        <v>31.432500000000001</v>
      </c>
      <c r="Y15" s="25">
        <f t="shared" si="2"/>
        <v>31.432500000000001</v>
      </c>
      <c r="Z15" s="24"/>
      <c r="AB15" s="9"/>
      <c r="AC15" s="8"/>
      <c r="AD15" s="8"/>
      <c r="AE15" s="8"/>
      <c r="AF15" s="8"/>
      <c r="AG15" s="7"/>
    </row>
    <row r="16" spans="1:33" ht="15" x14ac:dyDescent="0.2">
      <c r="A16" s="16"/>
      <c r="B16" s="19">
        <v>1.5</v>
      </c>
      <c r="C16" s="19">
        <v>1.625</v>
      </c>
      <c r="D16" s="19">
        <v>1.625</v>
      </c>
      <c r="E16" s="19">
        <v>1.625</v>
      </c>
      <c r="F16" s="19">
        <v>1.625</v>
      </c>
      <c r="G16" s="19">
        <v>1.625</v>
      </c>
      <c r="H16" s="19">
        <v>1.625</v>
      </c>
      <c r="I16" s="24"/>
      <c r="K16" s="16"/>
      <c r="L16" s="19">
        <v>1.5</v>
      </c>
      <c r="M16" s="26">
        <v>7.55</v>
      </c>
      <c r="N16" s="26">
        <v>5.0164</v>
      </c>
      <c r="O16" s="26">
        <f>M16</f>
        <v>7.55</v>
      </c>
      <c r="P16" s="26">
        <f>N16</f>
        <v>5.0164</v>
      </c>
      <c r="Q16" s="26">
        <f>M16</f>
        <v>7.55</v>
      </c>
      <c r="R16" s="26">
        <f>N16</f>
        <v>5.0164</v>
      </c>
      <c r="S16" s="24"/>
      <c r="U16" s="16"/>
      <c r="V16" s="19">
        <v>1.5</v>
      </c>
      <c r="W16" s="25">
        <f t="shared" si="0"/>
        <v>34.29</v>
      </c>
      <c r="X16" s="25">
        <f t="shared" si="1"/>
        <v>34.29</v>
      </c>
      <c r="Y16" s="25">
        <f t="shared" si="2"/>
        <v>34.29</v>
      </c>
      <c r="Z16" s="24"/>
      <c r="AB16" s="9"/>
      <c r="AC16" s="8"/>
      <c r="AD16" s="8"/>
      <c r="AE16" s="8"/>
      <c r="AF16" s="8"/>
      <c r="AG16" s="7"/>
    </row>
    <row r="17" spans="1:33" x14ac:dyDescent="0.2">
      <c r="A17" s="16"/>
      <c r="B17" s="15"/>
      <c r="C17" s="15"/>
      <c r="D17" s="15"/>
      <c r="E17" s="15"/>
      <c r="F17" s="15"/>
      <c r="G17" s="15"/>
      <c r="H17" s="15"/>
      <c r="I17" s="14"/>
      <c r="K17" s="16"/>
      <c r="L17" s="15"/>
      <c r="M17" s="15"/>
      <c r="N17" s="15"/>
      <c r="O17" s="15"/>
      <c r="P17" s="15"/>
      <c r="Q17" s="15"/>
      <c r="R17" s="15"/>
      <c r="S17" s="14"/>
      <c r="U17" s="16"/>
      <c r="V17" s="15"/>
      <c r="W17" s="15"/>
      <c r="X17" s="15"/>
      <c r="Y17" s="15"/>
      <c r="Z17" s="14"/>
      <c r="AB17" s="9"/>
      <c r="AC17" s="8"/>
      <c r="AD17" s="8"/>
      <c r="AE17" s="8"/>
      <c r="AF17" s="8"/>
      <c r="AG17" s="7"/>
    </row>
    <row r="18" spans="1:33" ht="13.5" thickBot="1" x14ac:dyDescent="0.25">
      <c r="A18" s="13"/>
      <c r="B18" s="12"/>
      <c r="C18" s="12"/>
      <c r="D18" s="12"/>
      <c r="E18" s="12"/>
      <c r="F18" s="12"/>
      <c r="G18" s="12"/>
      <c r="H18" s="12"/>
      <c r="I18" s="11"/>
      <c r="K18" s="16"/>
      <c r="L18" s="15"/>
      <c r="M18" s="15"/>
      <c r="N18" s="15"/>
      <c r="O18" s="15"/>
      <c r="P18" s="15"/>
      <c r="Q18" s="15"/>
      <c r="R18" s="15"/>
      <c r="S18" s="14"/>
      <c r="U18" s="13"/>
      <c r="V18" s="12"/>
      <c r="W18" s="12"/>
      <c r="X18" s="12"/>
      <c r="Y18" s="12"/>
      <c r="Z18" s="11"/>
      <c r="AB18" s="9"/>
      <c r="AC18" s="8"/>
      <c r="AD18" s="8"/>
      <c r="AE18" s="8"/>
      <c r="AF18" s="8"/>
      <c r="AG18" s="7"/>
    </row>
    <row r="19" spans="1:33" ht="14.25" x14ac:dyDescent="0.2">
      <c r="K19" s="16"/>
      <c r="L19" s="15"/>
      <c r="M19" s="108" t="s">
        <v>14</v>
      </c>
      <c r="N19" s="109"/>
      <c r="O19" s="109"/>
      <c r="P19" s="109"/>
      <c r="Q19" s="109"/>
      <c r="R19" s="109"/>
      <c r="S19" s="14"/>
      <c r="V19" s="15"/>
      <c r="AB19" s="9"/>
      <c r="AC19" s="8"/>
      <c r="AD19" s="8"/>
      <c r="AE19" s="8"/>
      <c r="AF19" s="8"/>
      <c r="AG19" s="7"/>
    </row>
    <row r="20" spans="1:33" x14ac:dyDescent="0.2">
      <c r="K20" s="16"/>
      <c r="L20" s="15"/>
      <c r="M20" s="105" t="s">
        <v>13</v>
      </c>
      <c r="N20" s="106"/>
      <c r="O20" s="106"/>
      <c r="P20" s="107" t="s">
        <v>12</v>
      </c>
      <c r="Q20" s="107"/>
      <c r="R20" s="107"/>
      <c r="S20" s="14"/>
      <c r="AB20" s="9"/>
      <c r="AC20" s="8"/>
      <c r="AD20" s="8"/>
      <c r="AE20" s="8"/>
      <c r="AF20" s="8"/>
      <c r="AG20" s="7"/>
    </row>
    <row r="21" spans="1:33" x14ac:dyDescent="0.2">
      <c r="K21" s="16"/>
      <c r="L21" s="15"/>
      <c r="M21" s="23" t="s">
        <v>11</v>
      </c>
      <c r="N21" s="23" t="s">
        <v>10</v>
      </c>
      <c r="O21" s="23" t="s">
        <v>9</v>
      </c>
      <c r="P21" s="23" t="s">
        <v>8</v>
      </c>
      <c r="Q21" s="23" t="s">
        <v>7</v>
      </c>
      <c r="R21" s="23" t="s">
        <v>6</v>
      </c>
      <c r="S21" s="14"/>
      <c r="AB21" s="9"/>
      <c r="AC21" s="8"/>
      <c r="AD21" s="8"/>
      <c r="AE21" s="8"/>
      <c r="AF21" s="8"/>
      <c r="AG21" s="7"/>
    </row>
    <row r="22" spans="1:33" ht="15" x14ac:dyDescent="0.2">
      <c r="K22" s="16"/>
      <c r="L22" s="19">
        <v>0.25</v>
      </c>
      <c r="M22" s="17">
        <f>12/5</f>
        <v>2.4</v>
      </c>
      <c r="N22" s="17">
        <f>24/8.5</f>
        <v>2.8235294117647061</v>
      </c>
      <c r="O22" s="18" t="s">
        <v>4</v>
      </c>
      <c r="P22" s="18" t="s">
        <v>4</v>
      </c>
      <c r="Q22" s="18" t="s">
        <v>4</v>
      </c>
      <c r="R22" s="18" t="s">
        <v>4</v>
      </c>
      <c r="S22" s="14"/>
      <c r="AB22" s="9"/>
      <c r="AC22" s="8"/>
      <c r="AD22" s="8"/>
      <c r="AE22" s="8"/>
      <c r="AF22" s="8"/>
      <c r="AG22" s="7"/>
    </row>
    <row r="23" spans="1:33" ht="15" x14ac:dyDescent="0.2">
      <c r="K23" s="16"/>
      <c r="L23" s="19">
        <v>0.3125</v>
      </c>
      <c r="M23" s="18" t="s">
        <v>4</v>
      </c>
      <c r="N23" s="18" t="s">
        <v>4</v>
      </c>
      <c r="O23" s="17">
        <f>18/5</f>
        <v>3.6</v>
      </c>
      <c r="P23" s="17">
        <f>30/8.5</f>
        <v>3.5294117647058822</v>
      </c>
      <c r="Q23" s="18" t="s">
        <v>4</v>
      </c>
      <c r="R23" s="18" t="s">
        <v>4</v>
      </c>
      <c r="S23" s="14"/>
      <c r="AB23" s="9"/>
      <c r="AC23" s="8"/>
      <c r="AD23" s="8"/>
      <c r="AE23" s="8"/>
      <c r="AF23" s="8"/>
      <c r="AG23" s="7"/>
    </row>
    <row r="24" spans="1:33" ht="15" x14ac:dyDescent="0.2">
      <c r="K24" s="16"/>
      <c r="L24" s="19">
        <v>0.375</v>
      </c>
      <c r="M24" s="18" t="s">
        <v>4</v>
      </c>
      <c r="N24" s="18" t="s">
        <v>4</v>
      </c>
      <c r="O24" s="17">
        <f>18/5</f>
        <v>3.6</v>
      </c>
      <c r="P24" s="17">
        <f>30/8.5</f>
        <v>3.5294117647058822</v>
      </c>
      <c r="Q24" s="18" t="s">
        <v>4</v>
      </c>
      <c r="R24" s="18" t="s">
        <v>4</v>
      </c>
      <c r="S24" s="14"/>
      <c r="AB24" s="9"/>
      <c r="AC24" s="8"/>
      <c r="AD24" s="8"/>
      <c r="AE24" s="8"/>
      <c r="AF24" s="8"/>
      <c r="AG24" s="7"/>
    </row>
    <row r="25" spans="1:33" ht="15" x14ac:dyDescent="0.2">
      <c r="K25" s="16"/>
      <c r="L25" s="19">
        <v>0.5</v>
      </c>
      <c r="M25" s="18" t="s">
        <v>4</v>
      </c>
      <c r="N25" s="18" t="s">
        <v>4</v>
      </c>
      <c r="O25" s="18" t="s">
        <v>4</v>
      </c>
      <c r="P25" s="18" t="s">
        <v>4</v>
      </c>
      <c r="Q25" s="17">
        <f>18/5</f>
        <v>3.6</v>
      </c>
      <c r="R25" s="17">
        <f>36/8.5</f>
        <v>4.2352941176470589</v>
      </c>
      <c r="S25" s="14"/>
      <c r="AB25" s="9"/>
      <c r="AC25" s="8"/>
      <c r="AD25" s="8"/>
      <c r="AE25" s="8"/>
      <c r="AF25" s="8"/>
      <c r="AG25" s="7"/>
    </row>
    <row r="26" spans="1:33" x14ac:dyDescent="0.2">
      <c r="K26" s="16"/>
      <c r="L26" s="15"/>
      <c r="M26" s="15"/>
      <c r="N26" s="15"/>
      <c r="O26" s="15"/>
      <c r="P26" s="15"/>
      <c r="Q26" s="15"/>
      <c r="R26" s="15"/>
      <c r="S26" s="14"/>
      <c r="AB26" s="9"/>
      <c r="AC26" s="8"/>
      <c r="AD26" s="8"/>
      <c r="AE26" s="8"/>
      <c r="AF26" s="8"/>
      <c r="AG26" s="7"/>
    </row>
    <row r="27" spans="1:33" ht="13.5" thickBot="1" x14ac:dyDescent="0.25">
      <c r="K27" s="13"/>
      <c r="L27" s="12"/>
      <c r="M27" s="12"/>
      <c r="N27" s="12"/>
      <c r="O27" s="12"/>
      <c r="P27" s="12"/>
      <c r="Q27" s="12"/>
      <c r="R27" s="12"/>
      <c r="S27" s="11"/>
      <c r="AB27" s="9"/>
      <c r="AC27" s="8"/>
      <c r="AD27" s="8"/>
      <c r="AE27" s="8"/>
      <c r="AF27" s="8"/>
      <c r="AG27" s="7"/>
    </row>
    <row r="28" spans="1:33" x14ac:dyDescent="0.2">
      <c r="AB28" s="9"/>
      <c r="AC28" s="8"/>
      <c r="AD28" s="8"/>
      <c r="AE28" s="8"/>
      <c r="AF28" s="8"/>
      <c r="AG28" s="7"/>
    </row>
    <row r="29" spans="1:33" ht="13.5" thickBot="1" x14ac:dyDescent="0.25">
      <c r="AB29" s="6"/>
      <c r="AC29" s="5"/>
      <c r="AD29" s="5"/>
      <c r="AE29" s="5"/>
      <c r="AF29" s="5"/>
      <c r="AG29" s="4"/>
    </row>
    <row r="65" spans="21:26" x14ac:dyDescent="0.2">
      <c r="U65" s="3"/>
      <c r="X65" s="3"/>
    </row>
    <row r="66" spans="21:26" x14ac:dyDescent="0.2">
      <c r="U66" s="3"/>
      <c r="X66" s="3"/>
    </row>
    <row r="67" spans="21:26" x14ac:dyDescent="0.2">
      <c r="U67" s="3"/>
      <c r="X67" s="3"/>
      <c r="Z67" s="3"/>
    </row>
    <row r="68" spans="21:26" x14ac:dyDescent="0.2">
      <c r="U68" s="3"/>
      <c r="X68" s="3"/>
      <c r="Z68" s="3"/>
    </row>
    <row r="69" spans="21:26" x14ac:dyDescent="0.2">
      <c r="U69" s="3"/>
      <c r="X69" s="3"/>
      <c r="Z69" s="3"/>
    </row>
  </sheetData>
  <sheetProtection algorithmName="SHA-512" hashValue="49QDe+jTy7AypHleN2RpOkYNUC/8/c5EWV0B5x3i40kvOoIETSrB6XHCoiIJzxobbkm55SHE0MmA3N+4uf7gaw==" saltValue="lvoFhHrwO1+JeHQpYQ5+7w==" spinCount="100000" sheet="1" objects="1" scenarios="1" insertColumns="0" insertRows="0" deleteColumns="0" deleteRows="0" selectLockedCells="1"/>
  <mergeCells count="13">
    <mergeCell ref="C4:D4"/>
    <mergeCell ref="M4:N4"/>
    <mergeCell ref="A2:I2"/>
    <mergeCell ref="E4:F4"/>
    <mergeCell ref="M19:R19"/>
    <mergeCell ref="Q4:R4"/>
    <mergeCell ref="G4:H4"/>
    <mergeCell ref="AB2:AG2"/>
    <mergeCell ref="U2:Z2"/>
    <mergeCell ref="K2:S2"/>
    <mergeCell ref="O4:P4"/>
    <mergeCell ref="M20:O20"/>
    <mergeCell ref="P20:R20"/>
  </mergeCells>
  <pageMargins left="0.74803149606299213" right="0.74803149606299213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Informe de rendimiento</vt:lpstr>
      <vt:lpstr>Referencias</vt:lpstr>
      <vt:lpstr>_0.25</vt:lpstr>
      <vt:lpstr>_0.375</vt:lpstr>
      <vt:lpstr>_0.5</vt:lpstr>
      <vt:lpstr>_0.625</vt:lpstr>
      <vt:lpstr>_0.75</vt:lpstr>
      <vt:lpstr>_0.875</vt:lpstr>
      <vt:lpstr>_1.</vt:lpstr>
      <vt:lpstr>_1.125</vt:lpstr>
      <vt:lpstr>_1.25</vt:lpstr>
      <vt:lpstr>_1.375</vt:lpstr>
      <vt:lpstr>_1.5</vt:lpstr>
      <vt:lpstr>Matriz_Consumo_MM</vt:lpstr>
      <vt:lpstr>Matriz_consumos</vt:lpstr>
      <vt:lpstr>Matriz_empotramientos</vt:lpstr>
      <vt:lpstr>Matriz_perforaciones</vt:lpstr>
      <vt:lpstr>Matriz_productos_ref</vt:lpstr>
      <vt:lpstr>Matriz_rendimietos_cartuchos</vt:lpstr>
      <vt:lpstr>'Informe de rendimiento'!Print_Area</vt:lpstr>
      <vt:lpstr>Referencias!Print_Area</vt:lpstr>
    </vt:vector>
  </TitlesOfParts>
  <Company>Hilti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Torres</dc:creator>
  <cp:lastModifiedBy>Juan Camilo Torres</cp:lastModifiedBy>
  <cp:lastPrinted>2015-09-07T17:24:07Z</cp:lastPrinted>
  <dcterms:created xsi:type="dcterms:W3CDTF">2010-05-31T11:18:45Z</dcterms:created>
  <dcterms:modified xsi:type="dcterms:W3CDTF">2015-09-28T16:00:59Z</dcterms:modified>
</cp:coreProperties>
</file>